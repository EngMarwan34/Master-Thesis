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_Lighting_EN-AR" sheetId="1" r:id="rId4"/>
    <sheet state="visible" name="B_HVAC_Controls_EN-AR" sheetId="2" r:id="rId5"/>
    <sheet state="visible" name="C_Window_Film_EN-AR" sheetId="3" r:id="rId6"/>
    <sheet state="visible" name="D_Chiller_Replacement_EN-AR" sheetId="4" r:id="rId7"/>
    <sheet state="visible" name="Summary EN-AR" sheetId="5" r:id="rId8"/>
    <sheet state="visible" name="References EN-AR" sheetId="6" r:id="rId9"/>
  </sheets>
  <definedNames/>
  <calcPr/>
  <extLst>
    <ext uri="GoogleSheetsCustomDataVersion2">
      <go:sheetsCustomData xmlns:go="http://customooxmlschemas.google.com/" r:id="rId10" roundtripDataChecksum="zBs1E4xsYz6j+nX2i5hQUh/9iosr6Odo3Wxjaphw/oU="/>
    </ext>
  </extLst>
</workbook>
</file>

<file path=xl/sharedStrings.xml><?xml version="1.0" encoding="utf-8"?>
<sst xmlns="http://schemas.openxmlformats.org/spreadsheetml/2006/main" count="544" uniqueCount="384">
  <si>
    <t>Package A – Lighting Control Improvement | الحزمة A – تحسين التحكم في الإضاءة</t>
  </si>
  <si>
    <t>Occupancy sensors, lighting relays, low-voltage wiring, programming, testing | حساسات إشغال، ريليهات إنارة، تمديدات منخفضة الجهد، برمجة واختبار</t>
  </si>
  <si>
    <t>Assumption | الافتراض</t>
  </si>
  <si>
    <t>Value | القيمة</t>
  </si>
  <si>
    <t>Unit | الوحدة</t>
  </si>
  <si>
    <t>Comment | تعليق</t>
  </si>
  <si>
    <t>Target CAPEX | المستهدف</t>
  </si>
  <si>
    <t>Calculated CAPEX | المحسوب</t>
  </si>
  <si>
    <t>Difference | الفرق</t>
  </si>
  <si>
    <t>Target CAPEX | التكلفة الرأسمالية المستهدفة</t>
  </si>
  <si>
    <t>USD</t>
  </si>
  <si>
    <t>Same value used in current package cost table | نفس القيمة المستخدمة في جدول التكاليف الحالي</t>
  </si>
  <si>
    <t>Number of conditioned floors | عدد الأدوار المكيفة</t>
  </si>
  <si>
    <t>floor</t>
  </si>
  <si>
    <t>Used to distribute sensors and floor-level interfaces | أساس توزيع الحساسات ووحدات الربط لكل دور</t>
  </si>
  <si>
    <t>Total occupancy sensors | إجمالي حساسات الإشغال</t>
  </si>
  <si>
    <t>sensor</t>
  </si>
  <si>
    <t>24 sensors/floor × 12 floors | 24 حساس لكل دور × 12 دور</t>
  </si>
  <si>
    <t>Cost boundary | حدود التكلفة</t>
  </si>
  <si>
    <t>Controls only</t>
  </si>
  <si>
    <t>-</t>
  </si>
  <si>
    <t>No LED fixture replacement; controls and minor wiring only | لا يشمل استبدال وحدات الإنارة</t>
  </si>
  <si>
    <t>No.</t>
  </si>
  <si>
    <t>Cost Component (EN)</t>
  </si>
  <si>
    <t>بند التكلفة (AR)</t>
  </si>
  <si>
    <t>Scope / نطاق العمل</t>
  </si>
  <si>
    <t>Quantity</t>
  </si>
  <si>
    <t>Unit</t>
  </si>
  <si>
    <t>Literature / Market Range | مدى التكلفة</t>
  </si>
  <si>
    <t>Selected Unit Cost | التكلفة المختارة</t>
  </si>
  <si>
    <t>Selection Level | مستوى الاختيار</t>
  </si>
  <si>
    <t>Total USD | الإجمالي</t>
  </si>
  <si>
    <t>Engineering Justification (EN)</t>
  </si>
  <si>
    <t>المبرر الهندسي (AR)</t>
  </si>
  <si>
    <t>Source / Notes</t>
  </si>
  <si>
    <t>Occupancy sensors – offices / meeting rooms</t>
  </si>
  <si>
    <t>حساسات إشغال للمكاتب وغرف الاجتماعات</t>
  </si>
  <si>
    <t>14 sensors/floor × 12 floors | 14 حساس لكل دور × 12 دور</t>
  </si>
  <si>
    <t>USD 60–100/sensor</t>
  </si>
  <si>
    <t>Mid-Low</t>
  </si>
  <si>
    <t>Commercial-grade sensors; not advanced networked sensors.</t>
  </si>
  <si>
    <t>حساسات تجارية عادية وليست حساسات شبكية متقدمة.</t>
  </si>
  <si>
    <t>WBDG lighting controls + engineering estimate</t>
  </si>
  <si>
    <t>Occupancy sensors – corridors / lobbies</t>
  </si>
  <si>
    <t>حساسات إشغال للممرات واللوبيات</t>
  </si>
  <si>
    <t>6 sensors/floor × 12 floors | 6 حساسات لكل دور × 12 دور</t>
  </si>
  <si>
    <t>USD 50–90/sensor</t>
  </si>
  <si>
    <t>Corridor sensors cover larger areas with simpler control logic.</t>
  </si>
  <si>
    <t>حساسات الممرات تغطي مساحة أكبر وتحتاج تحكمًا أبسط.</t>
  </si>
  <si>
    <t>Occupancy sensors – toilets / service rooms</t>
  </si>
  <si>
    <t>حساسات إشغال لدورات المياه وغرف الخدمات</t>
  </si>
  <si>
    <t>4 sensors/floor × 12 floors | 4 حساسات لكل دور × 12 دور</t>
  </si>
  <si>
    <t>USD 45–80/sensor</t>
  </si>
  <si>
    <t>Small zones with simple vacancy/occupancy operation.</t>
  </si>
  <si>
    <t>مناطق صغيرة ذات تشغيل بسيط حسب الإشغال أو عدم الإشغال.</t>
  </si>
  <si>
    <t>Lighting relay / power pack</t>
  </si>
  <si>
    <t>ريليه/وحدة طاقة للتحكم في دوائر الإنارة</t>
  </si>
  <si>
    <t>6 control points/floor × 12 floors | 6 نقاط تحكم لكل دور × 12 دور</t>
  </si>
  <si>
    <t>point</t>
  </si>
  <si>
    <t>USD 70–120/point</t>
  </si>
  <si>
    <t>Mid</t>
  </si>
  <si>
    <t>Basic switching interface for lighting circuits.</t>
  </si>
  <si>
    <t>واجهة تحكم أساسية لفصل وتشغيل دوائر الإنارة.</t>
  </si>
  <si>
    <t>Engineering estimate; checked against WBDG whole-system range</t>
  </si>
  <si>
    <t>Low-voltage wiring, conduits, labels</t>
  </si>
  <si>
    <t>تمديدات منخفضة الجهد ومواسير وتعريفات</t>
  </si>
  <si>
    <t>One allowance/floor | مخصص واحد لكل دور</t>
  </si>
  <si>
    <t>USD 400–700/floor</t>
  </si>
  <si>
    <t>Limited wiring only; not full lighting rewiring.</t>
  </si>
  <si>
    <t>تمديدات محدودة فقط ولا تشمل إعادة تمديد كامل لنظام الإنارة.</t>
  </si>
  <si>
    <t>Engineering estimate</t>
  </si>
  <si>
    <t>Floor lighting control interface module</t>
  </si>
  <si>
    <t>وحدة ربط تحكم إنارة لكل دور</t>
  </si>
  <si>
    <t>One module/floor | وحدة واحدة لكل دور</t>
  </si>
  <si>
    <t>USD 500–800/floor</t>
  </si>
  <si>
    <t>Simple interface module for local floor-level integration.</t>
  </si>
  <si>
    <t>وحدة ربط بسيطة للتكامل المحلي على مستوى كل دور.</t>
  </si>
  <si>
    <t>Installation labor</t>
  </si>
  <si>
    <t>أجور التركيب</t>
  </si>
  <si>
    <t>Installation points: sensors + relays | نقاط تركيب تشمل الحساسات والريليهات</t>
  </si>
  <si>
    <t>USD 35–60/point</t>
  </si>
  <si>
    <t>Repeated installation across typical floors reduces unit labor cost.</t>
  </si>
  <si>
    <t>تكرار العمل في الأدوار النموذجية يخفض تكلفة النقطة الواحدة.</t>
  </si>
  <si>
    <t>Programming and schedule verification</t>
  </si>
  <si>
    <t>البرمجة والتحقق من جداول التشغيل</t>
  </si>
  <si>
    <t>USD 300–500/floor</t>
  </si>
  <si>
    <t>Low-Mid</t>
  </si>
  <si>
    <t>Only lighting control schedule adjustment; no full BMS replacement.</t>
  </si>
  <si>
    <t>تعديل جداول وتحكم الإنارة فقط دون استبدال كامل لنظام BMS.</t>
  </si>
  <si>
    <t>Testing, labeling, documentation, and minor works</t>
  </si>
  <si>
    <t>الاختبار والتعريف والتوثيق والأعمال البسيطة</t>
  </si>
  <si>
    <t>Lump-sum closing allowance | مخصص إجمالي لإغلاق الحزمة</t>
  </si>
  <si>
    <t>LS</t>
  </si>
  <si>
    <t>USD 3,000–6,000/LS</t>
  </si>
  <si>
    <t>Balancing item to close package while allowing minor site works.</t>
  </si>
  <si>
    <t>بند موازنة لإغلاق الحزمة مع احتساب تعديلات موقع بسيطة.</t>
  </si>
  <si>
    <t>Total | الإجمالي</t>
  </si>
  <si>
    <t>Selected values are chosen within the literature/market range using engineering estimation. Lower-range values were selected because the scope is controls-only and targeted, not full lighting replacement. | تم اختيار القيم ضمن مدى المراجع/السوق باستخدام تقدير هندسي، وبشكل محافظ لأن النطاق تحكم جزئي وليس استبدال إنارة كامل.</t>
  </si>
  <si>
    <t>Package B – HVAC Operational Control / BMS Optimization | الحزمة B – تحسين تشغيل التكييف ونظام BMS</t>
  </si>
  <si>
    <t>Control sequence review, AHU/FCU reprogramming, chiller sequencing, pump logic, graphics, commissioning | مراجعة منطق التشغيل، برمجة AHU/FCU، تتابع التشيلرات، منطق المضخات، شاشات BMS، واختبارات التشغيل</t>
  </si>
  <si>
    <t>AHU/FCU units | وحدات AHU/FCU</t>
  </si>
  <si>
    <t>unit</t>
  </si>
  <si>
    <t>Used as main programming and verification quantity | أساس كمية البرمجة والتحقق</t>
  </si>
  <si>
    <t>Chillers | التشيلرات</t>
  </si>
  <si>
    <t>chiller</t>
  </si>
  <si>
    <t>Used for staging/sequence optimization | أساس تحسين تتابع التشغيل</t>
  </si>
  <si>
    <t>Pumps | المضخات</t>
  </si>
  <si>
    <t>pump</t>
  </si>
  <si>
    <t>Used for pump control logic integration | أساس ربط منطق تشغيل المضخات</t>
  </si>
  <si>
    <t>HVAC control sequence review and design</t>
  </si>
  <si>
    <t>مراجعة وتصميم منطق تشغيل التكييف</t>
  </si>
  <si>
    <t>Review/revise existing control sequences | مراجعة وتعديل منطق التحكم القائم</t>
  </si>
  <si>
    <t>USD 30,000–45,000/LS</t>
  </si>
  <si>
    <t>Review/revision of existing control logic, not new BMS design.</t>
  </si>
  <si>
    <t>مراجعة وتعديل منطق قائم وليس تصميم نظام BMS جديد.</t>
  </si>
  <si>
    <t>NREL controls categories + engineering estimate</t>
  </si>
  <si>
    <t>AHU/FCU controller reprogramming</t>
  </si>
  <si>
    <t>إعادة برمجة وحدات تحكم AHU/FCU</t>
  </si>
  <si>
    <t>Existing terminal/unit controllers | وحدات تحكم قائمة</t>
  </si>
  <si>
    <t>USD 180–260/unit</t>
  </si>
  <si>
    <t>Large number of repeated units reduces per-unit programming effort.</t>
  </si>
  <si>
    <t>العدد الكبير والتكرار يخفض جهد البرمجة لكل وحدة.</t>
  </si>
  <si>
    <t>NREL sensors/controls + engineering estimate</t>
  </si>
  <si>
    <t>Temperature / humidity sensor verification</t>
  </si>
  <si>
    <t>التحقق من حساسات الحرارة والرطوبة</t>
  </si>
  <si>
    <t>Verification/calibration checks | فحص وتحقق ومعايرة</t>
  </si>
  <si>
    <t>USD 50–100/unit</t>
  </si>
  <si>
    <t>Verification and checking, not full sensor replacement.</t>
  </si>
  <si>
    <t>فحص وتحقيق وليس استبدال كامل للحساسات.</t>
  </si>
  <si>
    <t>Chiller staging and sequencing optimization</t>
  </si>
  <si>
    <t>تحسين تتابع تشغيل التشيلرات</t>
  </si>
  <si>
    <t>Plant-level staging logic | منطق التتابع على مستوى المحطة</t>
  </si>
  <si>
    <t>USD 2,000–3,000/chiller</t>
  </si>
  <si>
    <t>Required because of multiple chillers and part-load sequencing.</t>
  </si>
  <si>
    <t>مطلوب بسبب تعدد التشيلرات والحاجة لتحسين التشغيل الجزئي.</t>
  </si>
  <si>
    <t>DOE chiller package + engineering estimate</t>
  </si>
  <si>
    <t>Pump control logic integration</t>
  </si>
  <si>
    <t>ربط منطق تشغيل المضخات</t>
  </si>
  <si>
    <t>Existing chilled-water pumps | مضخات مياه مبردة قائمة</t>
  </si>
  <si>
    <t>USD 1,000–1,500/pump</t>
  </si>
  <si>
    <t>Control integration for existing pumps, not pump replacement.</t>
  </si>
  <si>
    <t>ربط تحكم للمضخات القائمة وليس استبدال المضخات.</t>
  </si>
  <si>
    <t>BMS graphics, trend logs, and alarms</t>
  </si>
  <si>
    <t>شاشات BMS وبيانات التشغيل والإنذارات</t>
  </si>
  <si>
    <t>Floor-level graphics/logs | رسومات وسجلات لكل دور</t>
  </si>
  <si>
    <t>USD 3,000–5,000/floor</t>
  </si>
  <si>
    <t>Includes floor-level graphics, trend logs, alarms, and operator screens.</t>
  </si>
  <si>
    <t>يشمل شاشات لكل دور، بيانات تشغيل، إنذارات، وواجهات تشغيل.</t>
  </si>
  <si>
    <t>Testing, balancing, and commissioning visits</t>
  </si>
  <si>
    <t>اختبارات التشغيل والموازنة والـ commissioning</t>
  </si>
  <si>
    <t>Floor/system commissioning visits | زيارات اختبار وموازنة</t>
  </si>
  <si>
    <t>USD 5,000–8,000/floor</t>
  </si>
  <si>
    <t>Mid-High</t>
  </si>
  <si>
    <t>Selected near high range due to chilled-water system complexity.</t>
  </si>
  <si>
    <t>تم اختيار قيمة قريبة من الأعلى بسبب تعقيد نظام المياه المبردة.</t>
  </si>
  <si>
    <t>LBNL commissioning + engineering estimate</t>
  </si>
  <si>
    <t>Data logging and performance verification</t>
  </si>
  <si>
    <t>تسجيل البيانات والتحقق من الأداء</t>
  </si>
  <si>
    <t>Temporary measurement/verification | قياس وتحقق مؤقت</t>
  </si>
  <si>
    <t>USD 15,000–25,000/LS</t>
  </si>
  <si>
    <t>Temporary/limited verification, not permanent M&amp;V system.</t>
  </si>
  <si>
    <t>تحقق مؤقت ومحدود وليس نظام قياس دائم كامل.</t>
  </si>
  <si>
    <t>Engineering and project management</t>
  </si>
  <si>
    <t>الهندسة وإدارة المشروع</t>
  </si>
  <si>
    <t>Coordination/engineering allowance | مخصص تنسيق وهندسة</t>
  </si>
  <si>
    <t>Coordination, engineering review, and implementation management.</t>
  </si>
  <si>
    <t>تنسيق ومراجعة هندسية وإدارة تنفيذ.</t>
  </si>
  <si>
    <t>Contingency and minor corrections</t>
  </si>
  <si>
    <t>الاحتياطي والتعديلات البسيطة</t>
  </si>
  <si>
    <t>Site/programming correction allowance | مخصص تصحيح برمجي وموقعي</t>
  </si>
  <si>
    <t>USD 40,000–60,000/LS</t>
  </si>
  <si>
    <t>Allows for programming correction, site constraints, and minor integration changes.</t>
  </si>
  <si>
    <t>يغطي تصحيحات البرمجة وقيود الموقع وتعديلات تكامل بسيطة.</t>
  </si>
  <si>
    <t>Selected values were generally mid-range because the existing BMS is optimized and recommissioned, not fully replaced. | تم اختيار قيم متوسطة غالبًا لأن نظام BMS قائم ويتم تحسينه وإعادة تشغيله وليس استبداله بالكامل.</t>
  </si>
  <si>
    <t>Package C – Envelope Improvement / Solar-Control Window Film | الحزمة C – تحسين الغلاف الحراري / فيلم تحكم شمسي للزجاج</t>
  </si>
  <si>
    <t>Solar-control/insulation window film applied to selected existing glazing; not glass or curtain-wall replacement | تركيب فيلم عازل/شمسي على الزجاج القائم المختار؛ لا يشمل استبدال الزجاج أو الواجهة</t>
  </si>
  <si>
    <t>Treated glazing area | مساحة الزجاج المعالج</t>
  </si>
  <si>
    <t>m²</t>
  </si>
  <si>
    <t>Selected solar-exposed glazing areas | مساحات الزجاج الأكثر تعرضًا للشمس</t>
  </si>
  <si>
    <t>Average installed cost | متوسط تكلفة التركيب</t>
  </si>
  <si>
    <t>USD/m²</t>
  </si>
  <si>
    <t>Approximate package average including film, labor, access, QA, waste | متوسط تقريبي يشمل الفيلم والتركيب والوصول والفحص والهدر</t>
  </si>
  <si>
    <t>Film retrofit only</t>
  </si>
  <si>
    <t>No glass replacement or curtain-wall replacement | لا يشمل استبدال الزجاج أو الكرتن وول</t>
  </si>
  <si>
    <t>Solar-control film material</t>
  </si>
  <si>
    <t>مادة الفيلم الشمسي/العازل</t>
  </si>
  <si>
    <t>Film material for treated glass | مادة الفيلم للمساحة المعالجة</t>
  </si>
  <si>
    <t>USD 18–26/m²</t>
  </si>
  <si>
    <t>Commercial solar-control film; not premium full glazing system.</t>
  </si>
  <si>
    <t>فيلم شمسي تجاري وليس نظام زجاج عالي التكلفة.</t>
  </si>
  <si>
    <t>PG&amp;E/industry film cost + engineering estimate</t>
  </si>
  <si>
    <t>Surface preparation and glass cleaning</t>
  </si>
  <si>
    <t>تجهيز السطح وتنظيف الزجاج</t>
  </si>
  <si>
    <t>Cleaning/preparation before installation | تنظيف وتجهيز قبل التركيب</t>
  </si>
  <si>
    <t>USD 3–6/m²</t>
  </si>
  <si>
    <t>Existing glass preparation only; no glass removal.</t>
  </si>
  <si>
    <t>تجهيز زجاج قائم فقط دون إزالة الزجاج.</t>
  </si>
  <si>
    <t>Film installation labor</t>
  </si>
  <si>
    <t>أجور تركيب الفيلم</t>
  </si>
  <si>
    <t>Professional installation across façades | تركيب مهني على الواجهات</t>
  </si>
  <si>
    <t>USD 12–18/m²</t>
  </si>
  <si>
    <t>Professional installation over several floors and façade orientations.</t>
  </si>
  <si>
    <t>تركيب مهني على عدة أدوار واتجاهات للواجهة.</t>
  </si>
  <si>
    <t>Access / lifting / façade allowance</t>
  </si>
  <si>
    <t>مخصص الوصول والرفع للواجهة</t>
  </si>
  <si>
    <t>Façade access allowance per floor | مخصص وصول للواجهة لكل دور</t>
  </si>
  <si>
    <t>USD 1,300–2,000/floor</t>
  </si>
  <si>
    <t>Allows for façade access without full curtain-wall works.</t>
  </si>
  <si>
    <t>يسمح بالوصول للواجهة دون أعمال كرتن وول كاملة.</t>
  </si>
  <si>
    <t>Edge sealing, consumables, and minor finishing</t>
  </si>
  <si>
    <t>إغلاق الحواف والمواد الاستهلاكية والتشطيبات البسيطة</t>
  </si>
  <si>
    <t>Finishing and consumables | تشطيبات ومواد استهلاكية</t>
  </si>
  <si>
    <t>USD 2–3.5/m²</t>
  </si>
  <si>
    <t>Finishing and consumables; not façade replacement.</t>
  </si>
  <si>
    <t>تشطيبات ومواد استهلاكية وليست استبدال واجهة.</t>
  </si>
  <si>
    <t>GSA low-e film + engineering estimate</t>
  </si>
  <si>
    <t>Mock-up, QA, and inspection</t>
  </si>
  <si>
    <t>عينة تنفيذ وفحص جودة</t>
  </si>
  <si>
    <t>Sample and quality inspection | عينة وفحص جودة</t>
  </si>
  <si>
    <t>USD 3,000–5,000/LS</t>
  </si>
  <si>
    <t>Limited sample and inspection for planning-grade estimate.</t>
  </si>
  <si>
    <t>عينة وفحص محدود لتقدير مبدئي هندسي.</t>
  </si>
  <si>
    <t>Waste and contingency</t>
  </si>
  <si>
    <t>الهدر والاحتياطي</t>
  </si>
  <si>
    <t>Waste/minor adjustment allowance | مخصص هدر وتعديلات بسيطة</t>
  </si>
  <si>
    <t>USD 5,000–10,000/LS</t>
  </si>
  <si>
    <t>Covers waste, minor site adjustments, and damaged film allowance.</t>
  </si>
  <si>
    <t>يغطي الهدر وتعديلات بسيطة واحتمال تلف جزء من الفيلم.</t>
  </si>
  <si>
    <t>The selected installed package average is approximately USD 50/m², within the standard film retrofit range and far below glass replacement cost. | متوسط تكلفة الحزمة المختار يقارب 50 دولار/م²، وهو ضمن نطاق الفيلم القياسي وأقل بكثير من تكلفة استبدال الزجاج.</t>
  </si>
  <si>
    <t>Package D – Full Chiller Plant Replacement | الحزمة D – استبدال كامل لمحطة التبريد</t>
  </si>
  <si>
    <t>Full replacement of existing chiller plant with high-efficiency VFD-capable chillers; net CAPEX after resale/salvage credit | استبدال كامل لمحطة التبريد بتشيلرات عالية الكفاءة مع احتساب صافي التكلفة بعد خصم قيمة القديم</t>
  </si>
  <si>
    <t>Target CAPEX / Net Package D CAPEX | صافي التكلفة الرأسمالية للحزمة D</t>
  </si>
  <si>
    <t>Imported from updated Package D workbook | مأخوذة من ملف الحزمة D المحدث</t>
  </si>
  <si>
    <t>Total installed cooling capacity | إجمالي سعة التبريد المركبة</t>
  </si>
  <si>
    <t>TR</t>
  </si>
  <si>
    <t>Used as the quantity basis for full replacement | أساس كمية الاستبدال الكامل</t>
  </si>
  <si>
    <t>Selected net replacement cost | التكلفة الصافية المختارة</t>
  </si>
  <si>
    <t>USD/TR</t>
  </si>
  <si>
    <t>After resale/salvage deduction | بعد خصم قيمة بيع/تخريد القديم</t>
  </si>
  <si>
    <t>Estimated salvage credit | قيمة الخصم التقديرية للقديم</t>
  </si>
  <si>
    <t>% of gross package</t>
  </si>
  <si>
    <t>Used only to derive the net CAPEX | تستخدم لاشتقاق صافي التكلفة</t>
  </si>
  <si>
    <t>New high-efficiency chillers with VFD capability</t>
  </si>
  <si>
    <t>توريد تشيلرات جديدة عالية الكفاءة</t>
  </si>
  <si>
    <t>Replacement of the full 2,700 TR existing chiller plant capacity | استبدال كامل لسعة محطة التبريد البالغة 2,700 طن تبريد</t>
  </si>
  <si>
    <t>USD 900–1,100/TR net; gross package basis checked against USD 1,150–1,350/TR</t>
  </si>
  <si>
    <t>Within range</t>
  </si>
  <si>
    <t>Selected within the practical range because the scope is a package replacement and benefits from project-size purchasing.</t>
  </si>
  <si>
    <t>تم اختيار قيمة ضمن المدى العملي لأن المشروع حزمة استبدال كاملة ويمكن أن يستفيد من خصومات الحجم.</t>
  </si>
  <si>
    <t>DOE chiller replacement package + engineering estimate</t>
  </si>
  <si>
    <t>Removal, rigging, and sale/disposal coordination</t>
  </si>
  <si>
    <t>فك وإزالة التشيلرات القديمة وتجهيزها للبيع/التخريد</t>
  </si>
  <si>
    <t>Disconnecting, lifting, moving, and preparing 25 existing chillers for resale or salvage | فصل ورفع وتجهيز 25 تشيلر قائم للبيع أو التخريد</t>
  </si>
  <si>
    <t>USD 120,000–220,000/LS</t>
  </si>
  <si>
    <t>Mid-range value selected due to the large number of chillers while assuming part of handling may be covered through resale arrangements.</t>
  </si>
  <si>
    <t>تم اختيار قيمة متوسطة بسبب عدد التشيلرات، مع افتراض أن جزءًا من المناولة قد يرتبط بعملية البيع.</t>
  </si>
  <si>
    <t>Mechanical connection works</t>
  </si>
  <si>
    <t>الأعمال الميكانيكية</t>
  </si>
  <si>
    <t>Chilled-water connections, valves, fittings, and minor piping modifications | توصيلات مياه مبردة ومحابس وفلنجات وتعديلات بسيطة</t>
  </si>
  <si>
    <t>USD 150,000–220,000/LS</t>
  </si>
  <si>
    <t>Mid-range value selected because the work connects new chillers to an existing plant without full piping replacement.</t>
  </si>
  <si>
    <t>تم اختيار قيمة متوسطة لأن العمل يربط التشيلرات الجديدة بالمحطة القائمة دون استبدال كامل للمواسير.</t>
  </si>
  <si>
    <t>Electrical works</t>
  </si>
  <si>
    <t>الأعمال الكهربائية</t>
  </si>
  <si>
    <t>Breakers, cabling, protection devices, and power connection modifications | قواطع وكابلات وحماية كهربائية وتعديلات تغذية</t>
  </si>
  <si>
    <t>USD 130,000–220,000/LS</t>
  </si>
  <si>
    <t>Conservative mid-low value selected because electrical modifications are required but not a full main-panel rebuild.</t>
  </si>
  <si>
    <t>تم اختيار قيمة محافظة لأن الأعمال الكهربائية مطلوبة دون افتراض إعادة بناء كاملة للوحات الرئيسية.</t>
  </si>
  <si>
    <t>BMS integration and chiller sequencing</t>
  </si>
  <si>
    <t>ربط نظام التحكم BMS وتتابع التشغيل</t>
  </si>
  <si>
    <t>Integration of the new chillers with BMS, alarms, trend logs, and sequencing logic | ربط التشيلرات الجديدة مع BMS والإنذارات وبيانات التشغيل ومنطق التتابع</t>
  </si>
  <si>
    <t>USD 70,000–130,000/LS</t>
  </si>
  <si>
    <t>Mid-range value selected because the BMS is assumed existing; the scope is integration and reprogramming, not new BMS construction.</t>
  </si>
  <si>
    <t>تم اختيار قيمة متوسطة لأن نظام BMS قائم، والمطلوب تكامل وإعادة برمجة وليس إنشاء نظام جديد.</t>
  </si>
  <si>
    <t>Testing, commissioning, and performance verification</t>
  </si>
  <si>
    <t>الاختبار والتشغيل التجريبي والتحقق من الأداء</t>
  </si>
  <si>
    <t>Functional testing, water-temperature verification, sequencing tests, and operating-performance checks | اختبار وظيفي ودرجات مياه وتتابع التشغيل والتحقق من الأداء</t>
  </si>
  <si>
    <t>USD 50,000–90,000/LS</t>
  </si>
  <si>
    <t>Mid-range value selected to ensure the new plant operates according to required COP and sequencing logic.</t>
  </si>
  <si>
    <t>تم اختيار قيمة متوسطة لضمان عمل المحطة الجديدة حسب كفاءة التشغيل ومنطق التتابع المطلوب.</t>
  </si>
  <si>
    <t>DOE package concept + engineering estimate</t>
  </si>
  <si>
    <t>Engineering, supervision, and contingency</t>
  </si>
  <si>
    <t>الإشراف الهندسي والاحتياطي</t>
  </si>
  <si>
    <t>Design review, supervision, coordination, project management, and minor contingency | مراجعة التصميم والإشراف والتنسيق وإدارة المشروع واحتياطي بسيط</t>
  </si>
  <si>
    <t>USD 50,000–100,000/LS</t>
  </si>
  <si>
    <t>Low-to-mid value selected because the replacement boundary is clear and does not include full plant reconstruction.</t>
  </si>
  <si>
    <t>تم اختيار قيمة منخفضة إلى متوسطة لأن نطاق الاستبدال واضح ولا يشمل إعادة بناء كاملة للمحطة.</t>
  </si>
  <si>
    <t>Gross replacement package before salvage</t>
  </si>
  <si>
    <t>إجمالي تكلفة الاستبدال قبل خصم القديم</t>
  </si>
  <si>
    <t>Sum of all replacement package components | مجموع مكونات حزمة الاستبدال</t>
  </si>
  <si>
    <t>Gross cost before deducting the value of existing chillers.</t>
  </si>
  <si>
    <t>إجمالي التكلفة قبل خصم قيمة التشيلرات القائمة.</t>
  </si>
  <si>
    <t>Calculated</t>
  </si>
  <si>
    <t>Less: resale/salvage credit of existing chillers</t>
  </si>
  <si>
    <t>خصم قيمة بيع/تخريد التشيلرات القديمة</t>
  </si>
  <si>
    <t>Estimated recovery from selling/salvaging the existing 25 chillers | قيمة مستردة من بيع/تخريد 25 تشيلر قائم</t>
  </si>
  <si>
    <t>15–25% of gross replacement package</t>
  </si>
  <si>
    <t>A 20% credit is selected within the range because the existing chillers are assumed to retain residual value as used equipment or spare parts.</t>
  </si>
  <si>
    <t>تم اختيار خصم 20% لأن التشيلرات القديمة يُفترض أن لها قيمة متبقية كمعدات مستعملة أو قطع غيار.</t>
  </si>
  <si>
    <t>Net Package D CAPEX used in NPC</t>
  </si>
  <si>
    <t>صافي تكلفة حزمة D المستخدمة في التحليل الاقتصادي</t>
  </si>
  <si>
    <t>Net investment cost after resale/salvage deduction | صافي الاستثمار بعد خصم قيمة القديم</t>
  </si>
  <si>
    <t>USD 900–1,100/TR net</t>
  </si>
  <si>
    <t>Selected</t>
  </si>
  <si>
    <t>This is the final value used in the NPC analysis; it equals approximately USD 1,000/TR net.</t>
  </si>
  <si>
    <t>هذه هي القيمة النهائية المستخدمة في تحليل NPC، وتعادل تقريبًا 1,000 دولار/طن تبريد كتكلفة صافية.</t>
  </si>
  <si>
    <t>Final Net Total | صافي الإجمالي النهائي</t>
  </si>
  <si>
    <t>Package D values are based on the updated uploaded file: Package_D_Full_Chiller_Replacementx.xlsx. The package represents full plant replacement, not partial replacement, with reported CAPEX as net cost after resale/salvage deduction. | قيم الحزمة D مبنية على الملف المحدث، وهي تمثل استبدالًا كاملًا لمحطة التبريد مع صافي تكلفة بعد خصم قيمة القديم.</t>
  </si>
  <si>
    <t>Package Cost Reference Workbook | ملف مرجعي لتسعير الحزم</t>
  </si>
  <si>
    <t>Range-based literature/market support + selected engineering estimate | مدى من المراجع/السوق + قيمة مختارة بتقدير هندسي</t>
  </si>
  <si>
    <t>Package</t>
  </si>
  <si>
    <t>Description (EN)</t>
  </si>
  <si>
    <t>الوصف بالعربي</t>
  </si>
  <si>
    <t>Target CAPEX (USD)</t>
  </si>
  <si>
    <t>Calculated CAPEX (USD)</t>
  </si>
  <si>
    <t>Difference</t>
  </si>
  <si>
    <t>Quantity Basis | أساس الكمية</t>
  </si>
  <si>
    <t>Selection Approach | منهجية الاختيار</t>
  </si>
  <si>
    <t>Source Basis | أساس المصدر</t>
  </si>
  <si>
    <t>A</t>
  </si>
  <si>
    <t>Lighting Control Improvement</t>
  </si>
  <si>
    <t>تحسين التحكم في الإضاءة</t>
  </si>
  <si>
    <t>288 sensors + 72 relays + 12 floors | 288 حساس + 72 ريليه + 12 دور</t>
  </si>
  <si>
    <t>Cost ranges benchmarked; selected values mid/low due to controls-only retrofit | مدى تكلفة مع قيمة مختارة محافظة لأن النطاق تحكم فقط</t>
  </si>
  <si>
    <t>WBDG lighting-control range; selected detailed items are engineering estimates checked against whole-system controls range.</t>
  </si>
  <si>
    <t>B</t>
  </si>
  <si>
    <t>HVAC Operational Control / BMS Optimization</t>
  </si>
  <si>
    <t>تحسين تشغيل التكييف ونظام BMS</t>
  </si>
  <si>
    <t>500 AHU/FCU + 25 chillers + 40 pumps | 500 وحدة + 25 تشيلر + 40 مضخة</t>
  </si>
  <si>
    <t>Selected values mid-range because existing BMS is optimized, not replaced | قيم متوسطة لأن BMS قائم ويتم تحسينه</t>
  </si>
  <si>
    <t>NREL sensors/controls categories and LBNL commissioning cost concept; detailed unit values selected by engineering estimate.</t>
  </si>
  <si>
    <t>C</t>
  </si>
  <si>
    <t>Envelope Improvement / Solar-Control Window Film</t>
  </si>
  <si>
    <t>تحسين الغلاف الحراري / فيلم زجاج</t>
  </si>
  <si>
    <t>4,600 m² treated glazing | 4,600 م² زجاج معالج</t>
  </si>
  <si>
    <t>Selected installed average ≈ USD 50/m²; film retrofit only | متوسط 50 دولار/م² للفيلم فقط</t>
  </si>
  <si>
    <t>PG&amp;E/industry solar-control film range and GSA low-e window film concept; detailed split selected by engineering estimate.</t>
  </si>
  <si>
    <t>D</t>
  </si>
  <si>
    <t>Full Chiller Plant Replacement</t>
  </si>
  <si>
    <t>استبدال كامل لمحطة التبريد</t>
  </si>
  <si>
    <t>25 chillers; 2,700 TR total | 25 تشيلر؛ 2,700 طن تبريد</t>
  </si>
  <si>
    <t>Updated D values imported; net CAPEX after 20% salvage/resale credit | قيم D من الملف المحدث وصافي التكلفة بعد خصم 20%</t>
  </si>
  <si>
    <t>Updated Package_D_Full_Chiller_Replacementx.xlsx; DOE chiller replacement package + engineering estimate + resale/salvage credit assumption.</t>
  </si>
  <si>
    <t>Grand Total | الإجمالي الكلي</t>
  </si>
  <si>
    <t>Methodology | المنهجية:
Cost values are not taken as fixed numbers from a single source. Each cost item uses a literature/market range as a benchmark, then a selected value is chosen within that range using engineering estimation. The selected value is justified based on retrofit boundary, building size, repeated work, system complexity, and whether the measure is a partial upgrade or full replacement.
لا يتم أخذ القيم كأرقام ثابتة من دراسة واحدة، بل يتم استخدام مدى من المراجع/السوق، ثم اختيار قيمة داخل هذا المدى بناءً على تقدير هندسي يراعي حدود العمل، حجم المبنى، تكرار الأعمال، تعقيد النظام، وهل التحسين جزئي أم استبدال كامل.</t>
  </si>
  <si>
    <t>References and Source Basis | المراجع وأساس التقدير</t>
  </si>
  <si>
    <t>Reference / Source</t>
  </si>
  <si>
    <t>How it supports the estimate</t>
  </si>
  <si>
    <t>يدعم التقدير في</t>
  </si>
  <si>
    <t>URL / Note</t>
  </si>
  <si>
    <t>WBDG – Electric Lighting Controls</t>
  </si>
  <si>
    <t>General lighting-control cost range and controls concept.</t>
  </si>
  <si>
    <t>الحزمة A</t>
  </si>
  <si>
    <t>https://www.wbdg.org/resources/electric-lighting-controls</t>
  </si>
  <si>
    <t>NREL – Commercial Building Sensors and Controls Systems</t>
  </si>
  <si>
    <t>Sensors/controls cost categories: hardware, installation, programming, engineering, TAB, commissioning.</t>
  </si>
  <si>
    <t>الحزمة B والحزمة D جزئيًا</t>
  </si>
  <si>
    <t>https://docs.nrel.gov/docs/fy23osti/83693.pdf</t>
  </si>
  <si>
    <t>LBNL / BCxA – Building Commissioning Costs and Savings</t>
  </si>
  <si>
    <t>Benchmark for commissioning / existing building commissioning cost concept.</t>
  </si>
  <si>
    <t>الحزمة B وجزء commissioning</t>
  </si>
  <si>
    <t>https://www.bcxa.org/uploads/resources/LBNL%20Building%20Commissioning%20Cost%20and%20Savings%20Across%20Two%20Decades%20and%201%2C500%20Projects.pdf</t>
  </si>
  <si>
    <t>PG&amp;E / Industry – Solar Control Window Film Fact Sheet</t>
  </si>
  <si>
    <t>Installed film cost range and solar-control film concept.</t>
  </si>
  <si>
    <t>الحزمة C</t>
  </si>
  <si>
    <t>https://www.ngs.inc/wp-content/uploads/2017/12/PG-and-E-energy-savings.pdf</t>
  </si>
  <si>
    <t>GSA – Low-E Window Film Findings</t>
  </si>
  <si>
    <t>Government reference for low-e/retrofit window film concept and installed-cost comparison.</t>
  </si>
  <si>
    <t>https://www.gsa.gov/system/files/GPG032-Low-E%20Window%20Film-Findings-508R.pdf</t>
  </si>
  <si>
    <t>U.S. DOE – School Chiller Replacement Package</t>
  </si>
  <si>
    <t>Chiller replacement package concept: VFDs, controls, commissioning, pump measures, motors.</t>
  </si>
  <si>
    <t>الحزمة D</t>
  </si>
  <si>
    <t>https://www.energy.gov/documents/bto-schools-chiller-replacement-083022pdf</t>
  </si>
  <si>
    <t>Natural Resources Canada – Variable Frequency Drives</t>
  </si>
  <si>
    <t>VFD installation concept and the need for installation/electrical allowance.</t>
  </si>
  <si>
    <t>الحزم B/D حسب الحاجة</t>
  </si>
  <si>
    <t>https://natural-resources.canada.ca/energy-efficiency/energy-star/variable-frequency-drives</t>
  </si>
  <si>
    <t>Updated Package D workbook</t>
  </si>
  <si>
    <t>Source for the revised Package D full chiller replacement values and net CAPEX after salvage credit.</t>
  </si>
  <si>
    <t>Package_D_Full_Chiller_Replacementx.xlsx</t>
  </si>
  <si>
    <t>Project-specific engineering estimate</t>
  </si>
  <si>
    <t>Used for row-level unit/lump-sum values selected within literature/market ranges.</t>
  </si>
  <si>
    <t>جميع الحزم</t>
  </si>
  <si>
    <t>Engineering estimate; planning-grade cost basis.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</si>
</sst>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$#,##0;[Red]\-\$#,##0"/>
    <numFmt numFmtId="165" formatCode="\$#,##0.00"/>
  </numFmts>
  <fonts count="12">
    <font>
      <sz val="11.0"/>
      <color rgb="FF000000"/>
      <name val="Carlito"/>
      <scheme val="minor"/>
    </font>
    <font>
      <b/>
      <sz val="15.0"/>
      <color rgb="FFFFFFFF"/>
      <name val="Carlito"/>
    </font>
    <font/>
    <font>
      <color theme="1"/>
      <name val="Carlito"/>
      <scheme val="minor"/>
    </font>
    <font>
      <i/>
      <sz val="10.0"/>
      <color rgb="FF1F2937"/>
      <name val="Carlito"/>
    </font>
    <font>
      <b/>
      <sz val="11.0"/>
      <color rgb="FFFFFFFF"/>
      <name val="Carlito"/>
    </font>
    <font>
      <sz val="9.0"/>
      <color theme="1"/>
      <name val="Carlito"/>
    </font>
    <font>
      <b/>
      <sz val="11.0"/>
      <color theme="1"/>
      <name val="Carlito"/>
    </font>
    <font>
      <b/>
      <sz val="9.0"/>
      <color rgb="FFFFFFFF"/>
      <name val="Carlito"/>
    </font>
    <font>
      <i/>
      <sz val="9.0"/>
      <color theme="1"/>
      <name val="Carlito"/>
    </font>
    <font>
      <b/>
      <sz val="9.0"/>
      <color theme="1"/>
      <name val="Carlito"/>
    </font>
    <font>
      <sz val="10.0"/>
      <color theme="1"/>
      <name val="Carlito"/>
    </font>
  </fonts>
  <fills count="9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0F766E"/>
        <bgColor rgb="FF0F766E"/>
      </patternFill>
    </fill>
    <fill>
      <patternFill patternType="solid">
        <fgColor rgb="FFEAF4F4"/>
        <bgColor rgb="FFEAF4F4"/>
      </patternFill>
    </fill>
    <fill>
      <patternFill patternType="solid">
        <fgColor rgb="FFF8FAFC"/>
        <bgColor rgb="FFF8FAFC"/>
      </patternFill>
    </fill>
    <fill>
      <patternFill patternType="solid">
        <fgColor rgb="FFFFF2CC"/>
        <bgColor rgb="FFFFF2CC"/>
      </patternFill>
    </fill>
    <fill>
      <patternFill patternType="solid">
        <fgColor rgb="FFFDEBD0"/>
        <bgColor rgb="FFFDEBD0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</border>
    <border>
      <right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1" fillId="3" fontId="4" numFmtId="0" xfId="0" applyAlignment="1" applyBorder="1" applyFill="1" applyFont="1">
      <alignment horizontal="center" readingOrder="0" shrinkToFit="0" vertical="center" wrapText="1"/>
    </xf>
    <xf borderId="4" fillId="4" fontId="5" numFmtId="0" xfId="0" applyAlignment="1" applyBorder="1" applyFill="1" applyFont="1">
      <alignment horizontal="center" readingOrder="0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4" fillId="5" fontId="6" numFmtId="0" xfId="0" applyAlignment="1" applyBorder="1" applyFill="1" applyFont="1">
      <alignment horizontal="center" readingOrder="0" shrinkToFit="0" vertical="center" wrapText="1"/>
    </xf>
    <xf borderId="4" fillId="5" fontId="6" numFmtId="3" xfId="0" applyAlignment="1" applyBorder="1" applyFont="1" applyNumberFormat="1">
      <alignment horizontal="center" shrinkToFit="0" vertical="center" wrapText="1"/>
    </xf>
    <xf borderId="4" fillId="5" fontId="6" numFmtId="0" xfId="0" applyAlignment="1" applyBorder="1" applyFont="1">
      <alignment horizontal="center" shrinkToFit="0" vertical="center" wrapText="1"/>
    </xf>
    <xf borderId="4" fillId="6" fontId="7" numFmtId="164" xfId="0" applyAlignment="1" applyBorder="1" applyFill="1" applyFont="1" applyNumberForma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top" wrapText="1"/>
    </xf>
    <xf borderId="0" fillId="0" fontId="6" numFmtId="0" xfId="0" applyAlignment="1" applyFont="1">
      <alignment horizontal="center" readingOrder="0" shrinkToFit="0" vertical="top" wrapText="1"/>
    </xf>
    <xf borderId="0" fillId="0" fontId="6" numFmtId="4" xfId="0" applyAlignment="1" applyFont="1" applyNumberFormat="1">
      <alignment horizontal="center" shrinkToFit="0" vertical="top" wrapText="1"/>
    </xf>
    <xf borderId="0" fillId="0" fontId="6" numFmtId="165" xfId="0" applyAlignment="1" applyFont="1" applyNumberFormat="1">
      <alignment horizontal="center" shrinkToFit="0" vertical="top" wrapText="1"/>
    </xf>
    <xf borderId="0" fillId="0" fontId="6" numFmtId="164" xfId="0" applyAlignment="1" applyFont="1" applyNumberFormat="1">
      <alignment horizontal="center" shrinkToFit="0" vertical="top" wrapText="1"/>
    </xf>
    <xf borderId="0" fillId="0" fontId="6" numFmtId="0" xfId="0" applyAlignment="1" applyFont="1">
      <alignment horizontal="center" shrinkToFit="0" vertical="top" wrapText="1"/>
    </xf>
    <xf borderId="0" fillId="0" fontId="6" numFmtId="4" xfId="0" applyAlignment="1" applyFont="1" applyNumberFormat="1">
      <alignment horizontal="center" shrinkToFit="0" vertical="top" wrapText="1"/>
    </xf>
    <xf borderId="0" fillId="0" fontId="6" numFmtId="165" xfId="0" applyAlignment="1" applyFont="1" applyNumberFormat="1">
      <alignment horizontal="center" shrinkToFit="0" vertical="top" wrapText="1"/>
    </xf>
    <xf borderId="0" fillId="0" fontId="6" numFmtId="164" xfId="0" applyAlignment="1" applyFont="1" applyNumberFormat="1">
      <alignment horizontal="center" shrinkToFit="0" vertical="top" wrapText="1"/>
    </xf>
    <xf borderId="4" fillId="4" fontId="8" numFmtId="0" xfId="0" applyAlignment="1" applyBorder="1" applyFont="1">
      <alignment horizontal="center" readingOrder="0" shrinkToFit="0" vertical="center" wrapText="1"/>
    </xf>
    <xf borderId="4" fillId="4" fontId="8" numFmtId="164" xfId="0" applyAlignment="1" applyBorder="1" applyFont="1" applyNumberFormat="1">
      <alignment horizontal="center" shrinkToFit="0" vertical="center" wrapText="1"/>
    </xf>
    <xf borderId="5" fillId="7" fontId="9" numFmtId="0" xfId="0" applyAlignment="1" applyBorder="1" applyFill="1" applyFont="1">
      <alignment horizontal="center"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" fillId="2" fontId="1" numFmtId="0" xfId="0" applyAlignment="1" applyBorder="1" applyFont="1">
      <alignment horizontal="center" shrinkToFit="0" vertical="center" wrapText="1"/>
    </xf>
    <xf borderId="4" fillId="8" fontId="10" numFmtId="0" xfId="0" applyAlignment="1" applyBorder="1" applyFill="1" applyFont="1">
      <alignment horizontal="center" shrinkToFit="0" vertical="top" wrapText="1"/>
    </xf>
    <xf borderId="4" fillId="8" fontId="10" numFmtId="0" xfId="0" applyAlignment="1" applyBorder="1" applyFont="1">
      <alignment horizontal="center" readingOrder="0" shrinkToFit="0" vertical="top" wrapText="1"/>
    </xf>
    <xf borderId="4" fillId="8" fontId="10" numFmtId="4" xfId="0" applyAlignment="1" applyBorder="1" applyFont="1" applyNumberFormat="1">
      <alignment horizontal="center" shrinkToFit="0" vertical="top" wrapText="1"/>
    </xf>
    <xf borderId="4" fillId="8" fontId="10" numFmtId="165" xfId="0" applyAlignment="1" applyBorder="1" applyFont="1" applyNumberFormat="1">
      <alignment horizontal="center" shrinkToFit="0" vertical="top" wrapText="1"/>
    </xf>
    <xf borderId="4" fillId="8" fontId="10" numFmtId="164" xfId="0" applyAlignment="1" applyBorder="1" applyFont="1" applyNumberFormat="1">
      <alignment horizontal="center" shrinkToFit="0" vertical="top" wrapText="1"/>
    </xf>
    <xf borderId="5" fillId="7" fontId="9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center" readingOrder="0" shrinkToFit="0" vertical="center" wrapText="1"/>
    </xf>
    <xf borderId="5" fillId="7" fontId="11" numFmtId="0" xfId="0" applyAlignment="1" applyBorder="1" applyFont="1">
      <alignment horizontal="center" readingOrder="0" shrinkToFit="0" vertical="center" wrapText="1"/>
    </xf>
    <xf borderId="11" fillId="0" fontId="2" numFmtId="0" xfId="0" applyBorder="1" applyFont="1"/>
    <xf borderId="12" fillId="0" fontId="2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6">
    <tableStyle count="3" pivot="0" name="A_Lighting_EN-AR-style">
      <tableStyleElement dxfId="1" type="headerRow"/>
      <tableStyleElement dxfId="2" type="firstRowStripe"/>
      <tableStyleElement dxfId="3" type="secondRowStripe"/>
    </tableStyle>
    <tableStyle count="3" pivot="0" name="B_HVAC_Controls_EN-AR-style">
      <tableStyleElement dxfId="1" type="headerRow"/>
      <tableStyleElement dxfId="2" type="firstRowStripe"/>
      <tableStyleElement dxfId="3" type="secondRowStripe"/>
    </tableStyle>
    <tableStyle count="3" pivot="0" name="C_Window_Film_EN-AR-style">
      <tableStyleElement dxfId="1" type="headerRow"/>
      <tableStyleElement dxfId="2" type="firstRowStripe"/>
      <tableStyleElement dxfId="3" type="secondRowStripe"/>
    </tableStyle>
    <tableStyle count="3" pivot="0" name="D_Chiller_Replacement_EN-AR-style">
      <tableStyleElement dxfId="1" type="headerRow"/>
      <tableStyleElement dxfId="2" type="firstRowStripe"/>
      <tableStyleElement dxfId="3" type="secondRowStripe"/>
    </tableStyle>
    <tableStyle count="3" pivot="0" name="Summary EN-AR-style">
      <tableStyleElement dxfId="1" type="headerRow"/>
      <tableStyleElement dxfId="2" type="firstRowStripe"/>
      <tableStyleElement dxfId="3" type="secondRowStripe"/>
    </tableStyle>
    <tableStyle count="3" pivot="0" name="References EN-A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0:M19" displayName="Table_1" name="Table_1" id="1">
  <tableColumns count="13">
    <tableColumn name="No." id="1"/>
    <tableColumn name="Cost Component (EN)" id="2"/>
    <tableColumn name="بند التكلفة (AR)" id="3"/>
    <tableColumn name="Scope / نطاق العمل" id="4"/>
    <tableColumn name="Quantity" id="5"/>
    <tableColumn name="Unit" id="6"/>
    <tableColumn name="Literature / Market Range | مدى التكلفة" id="7"/>
    <tableColumn name="Selected Unit Cost | التكلفة المختارة" id="8"/>
    <tableColumn name="Selection Level | مستوى الاختيار" id="9"/>
    <tableColumn name="Total USD | الإجمالي" id="10"/>
    <tableColumn name="Engineering Justification (EN)" id="11"/>
    <tableColumn name="المبرر الهندسي (AR)" id="12"/>
    <tableColumn name="Source / Notes" id="13"/>
  </tableColumns>
  <tableStyleInfo name="A_Lighting_EN-AR-style" showColumnStripes="0" showFirstColumn="1" showLastColumn="1" showRowStripes="1"/>
</table>
</file>

<file path=xl/tables/table2.xml><?xml version="1.0" encoding="utf-8"?>
<table xmlns="http://schemas.openxmlformats.org/spreadsheetml/2006/main" ref="A10:M20" displayName="Table_2" name="Table_2" id="2">
  <tableColumns count="13">
    <tableColumn name="No." id="1"/>
    <tableColumn name="Cost Component (EN)" id="2"/>
    <tableColumn name="بند التكلفة (AR)" id="3"/>
    <tableColumn name="Scope / نطاق العمل" id="4"/>
    <tableColumn name="Quantity" id="5"/>
    <tableColumn name="Unit" id="6"/>
    <tableColumn name="Literature / Market Range | مدى التكلفة" id="7"/>
    <tableColumn name="Selected Unit Cost | التكلفة المختارة" id="8"/>
    <tableColumn name="Selection Level | مستوى الاختيار" id="9"/>
    <tableColumn name="Total USD | الإجمالي" id="10"/>
    <tableColumn name="Engineering Justification (EN)" id="11"/>
    <tableColumn name="المبرر الهندسي (AR)" id="12"/>
    <tableColumn name="Source / Notes" id="13"/>
  </tableColumns>
  <tableStyleInfo name="B_HVAC_Controls_EN-AR-style" showColumnStripes="0" showFirstColumn="1" showLastColumn="1" showRowStripes="1"/>
</table>
</file>

<file path=xl/tables/table3.xml><?xml version="1.0" encoding="utf-8"?>
<table xmlns="http://schemas.openxmlformats.org/spreadsheetml/2006/main" ref="A10:M17" displayName="Table_3" name="Table_3" id="3">
  <tableColumns count="13">
    <tableColumn name="No." id="1"/>
    <tableColumn name="Cost Component (EN)" id="2"/>
    <tableColumn name="بند التكلفة (AR)" id="3"/>
    <tableColumn name="Scope / نطاق العمل" id="4"/>
    <tableColumn name="Quantity" id="5"/>
    <tableColumn name="Unit" id="6"/>
    <tableColumn name="Literature / Market Range | مدى التكلفة" id="7"/>
    <tableColumn name="Selected Unit Cost | التكلفة المختارة" id="8"/>
    <tableColumn name="Selection Level | مستوى الاختيار" id="9"/>
    <tableColumn name="Total USD | الإجمالي" id="10"/>
    <tableColumn name="Engineering Justification (EN)" id="11"/>
    <tableColumn name="المبرر الهندسي (AR)" id="12"/>
    <tableColumn name="Source / Notes" id="13"/>
  </tableColumns>
  <tableStyleInfo name="C_Window_Film_EN-AR-style" showColumnStripes="0" showFirstColumn="1" showLastColumn="1" showRowStripes="1"/>
</table>
</file>

<file path=xl/tables/table4.xml><?xml version="1.0" encoding="utf-8"?>
<table xmlns="http://schemas.openxmlformats.org/spreadsheetml/2006/main" ref="A10:M20" displayName="Table_4" name="Table_4" id="4">
  <tableColumns count="13">
    <tableColumn name="No." id="1"/>
    <tableColumn name="Cost Component (EN)" id="2"/>
    <tableColumn name="بند التكلفة (AR)" id="3"/>
    <tableColumn name="Scope / نطاق العمل" id="4"/>
    <tableColumn name="Quantity" id="5"/>
    <tableColumn name="Unit" id="6"/>
    <tableColumn name="Literature / Market Range | مدى التكلفة" id="7"/>
    <tableColumn name="Selected Unit Cost | التكلفة المختارة" id="8"/>
    <tableColumn name="Selection Level | مستوى الاختيار" id="9"/>
    <tableColumn name="Total USD | الإجمالي" id="10"/>
    <tableColumn name="Engineering Justification (EN)" id="11"/>
    <tableColumn name="المبرر الهندسي (AR)" id="12"/>
    <tableColumn name="Source / Notes" id="13"/>
  </tableColumns>
  <tableStyleInfo name="D_Chiller_Replacement_EN-AR-style" showColumnStripes="0" showFirstColumn="1" showLastColumn="1" showRowStripes="1"/>
</table>
</file>

<file path=xl/tables/table5.xml><?xml version="1.0" encoding="utf-8"?>
<table xmlns="http://schemas.openxmlformats.org/spreadsheetml/2006/main" ref="A4:I8" displayName="Table_5" name="Table_5" id="5">
  <tableColumns count="9">
    <tableColumn name="Package" id="1"/>
    <tableColumn name="Description (EN)" id="2"/>
    <tableColumn name="الوصف بالعربي" id="3"/>
    <tableColumn name="Target CAPEX (USD)" id="4"/>
    <tableColumn name="Calculated CAPEX (USD)" id="5"/>
    <tableColumn name="Difference" id="6"/>
    <tableColumn name="Quantity Basis | أساس الكمية" id="7"/>
    <tableColumn name="Selection Approach | منهجية الاختيار" id="8"/>
    <tableColumn name="Source Basis | أساس المصدر" id="9"/>
  </tableColumns>
  <tableStyleInfo name="Summary EN-AR-style" showColumnStripes="0" showFirstColumn="1" showLastColumn="1" showRowStripes="1"/>
</table>
</file>

<file path=xl/tables/table6.xml><?xml version="1.0" encoding="utf-8"?>
<table xmlns="http://schemas.openxmlformats.org/spreadsheetml/2006/main" ref="A3:E12" displayName="Table_6" name="Table_6" id="6">
  <tableColumns count="5">
    <tableColumn name="No." id="1"/>
    <tableColumn name="Reference / Source" id="2"/>
    <tableColumn name="How it supports the estimate" id="3"/>
    <tableColumn name="يدعم التقدير في" id="4"/>
    <tableColumn name="URL / Note" id="5"/>
  </tableColumns>
  <tableStyleInfo name="References EN-A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21.75"/>
    <col customWidth="1" min="2" max="2" width="28.0"/>
    <col customWidth="1" min="3" max="3" width="24.88"/>
    <col customWidth="1" min="4" max="4" width="60.5"/>
    <col customWidth="1" min="5" max="6" width="10.0"/>
    <col customWidth="1" min="7" max="7" width="28.0"/>
    <col customWidth="1" min="8" max="8" width="14.0"/>
    <col customWidth="1" min="9" max="10" width="16.0"/>
    <col customWidth="1" min="11" max="12" width="42.0"/>
    <col customWidth="1" min="13" max="13" width="30.0"/>
    <col customWidth="1" min="14" max="26" width="8.63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3.75" customHeight="1">
      <c r="A2" s="5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3.75" customHeight="1">
      <c r="A4" s="6" t="s">
        <v>2</v>
      </c>
      <c r="B4" s="6" t="s">
        <v>3</v>
      </c>
      <c r="C4" s="6" t="s">
        <v>4</v>
      </c>
      <c r="D4" s="6" t="s">
        <v>5</v>
      </c>
      <c r="E4" s="4"/>
      <c r="F4" s="7" t="s">
        <v>6</v>
      </c>
      <c r="G4" s="7" t="s">
        <v>7</v>
      </c>
      <c r="H4" s="6" t="s">
        <v>8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4.0" customHeight="1">
      <c r="A5" s="8" t="s">
        <v>9</v>
      </c>
      <c r="B5" s="9">
        <v>65000.0</v>
      </c>
      <c r="C5" s="10" t="s">
        <v>10</v>
      </c>
      <c r="D5" s="8" t="s">
        <v>11</v>
      </c>
      <c r="E5" s="4"/>
      <c r="F5" s="11">
        <v>65000.0</v>
      </c>
      <c r="G5" s="11">
        <f>SUM(J11:J19)</f>
        <v>65000</v>
      </c>
      <c r="H5" s="11">
        <f>G5-F5</f>
        <v>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8" t="s">
        <v>12</v>
      </c>
      <c r="B6" s="9">
        <v>12.0</v>
      </c>
      <c r="C6" s="10" t="s">
        <v>13</v>
      </c>
      <c r="D6" s="8" t="s">
        <v>14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8" t="s">
        <v>15</v>
      </c>
      <c r="B7" s="9">
        <v>288.0</v>
      </c>
      <c r="C7" s="10" t="s">
        <v>16</v>
      </c>
      <c r="D7" s="8" t="s">
        <v>17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9.5" customHeight="1">
      <c r="A8" s="8" t="s">
        <v>18</v>
      </c>
      <c r="B8" s="9" t="s">
        <v>19</v>
      </c>
      <c r="C8" s="10" t="s">
        <v>20</v>
      </c>
      <c r="D8" s="10" t="s">
        <v>21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6.0" customHeight="1">
      <c r="A10" s="12" t="s">
        <v>22</v>
      </c>
      <c r="B10" s="12" t="s">
        <v>23</v>
      </c>
      <c r="C10" s="13" t="s">
        <v>24</v>
      </c>
      <c r="D10" s="13" t="s">
        <v>25</v>
      </c>
      <c r="E10" s="12" t="s">
        <v>26</v>
      </c>
      <c r="F10" s="12" t="s">
        <v>27</v>
      </c>
      <c r="G10" s="12" t="s">
        <v>28</v>
      </c>
      <c r="H10" s="12" t="s">
        <v>29</v>
      </c>
      <c r="I10" s="13" t="s">
        <v>30</v>
      </c>
      <c r="J10" s="12" t="s">
        <v>31</v>
      </c>
      <c r="K10" s="12" t="s">
        <v>32</v>
      </c>
      <c r="L10" s="13" t="s">
        <v>33</v>
      </c>
      <c r="M10" s="12" t="s">
        <v>34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14">
        <v>1.0</v>
      </c>
      <c r="B11" s="14" t="s">
        <v>35</v>
      </c>
      <c r="C11" s="15" t="s">
        <v>36</v>
      </c>
      <c r="D11" s="15" t="s">
        <v>37</v>
      </c>
      <c r="E11" s="16">
        <v>168.0</v>
      </c>
      <c r="F11" s="14" t="s">
        <v>16</v>
      </c>
      <c r="G11" s="14" t="s">
        <v>38</v>
      </c>
      <c r="H11" s="17">
        <v>75.0</v>
      </c>
      <c r="I11" s="14" t="s">
        <v>39</v>
      </c>
      <c r="J11" s="18">
        <f t="shared" ref="J11:J19" si="1">IF(OR(E11="",H11=""),"",ROUND(E11*H11,0))</f>
        <v>12600</v>
      </c>
      <c r="K11" s="14" t="s">
        <v>40</v>
      </c>
      <c r="L11" s="15" t="s">
        <v>41</v>
      </c>
      <c r="M11" s="14" t="s">
        <v>42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14">
        <v>2.0</v>
      </c>
      <c r="B12" s="14" t="s">
        <v>43</v>
      </c>
      <c r="C12" s="15" t="s">
        <v>44</v>
      </c>
      <c r="D12" s="15" t="s">
        <v>45</v>
      </c>
      <c r="E12" s="16">
        <v>72.0</v>
      </c>
      <c r="F12" s="14" t="s">
        <v>16</v>
      </c>
      <c r="G12" s="14" t="s">
        <v>46</v>
      </c>
      <c r="H12" s="17">
        <v>65.0</v>
      </c>
      <c r="I12" s="14" t="s">
        <v>39</v>
      </c>
      <c r="J12" s="18">
        <f t="shared" si="1"/>
        <v>4680</v>
      </c>
      <c r="K12" s="14" t="s">
        <v>47</v>
      </c>
      <c r="L12" s="15" t="s">
        <v>48</v>
      </c>
      <c r="M12" s="14" t="s">
        <v>42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14">
        <v>3.0</v>
      </c>
      <c r="B13" s="14" t="s">
        <v>49</v>
      </c>
      <c r="C13" s="15" t="s">
        <v>50</v>
      </c>
      <c r="D13" s="15" t="s">
        <v>51</v>
      </c>
      <c r="E13" s="16">
        <v>48.0</v>
      </c>
      <c r="F13" s="14" t="s">
        <v>16</v>
      </c>
      <c r="G13" s="14" t="s">
        <v>52</v>
      </c>
      <c r="H13" s="17">
        <v>60.0</v>
      </c>
      <c r="I13" s="14" t="s">
        <v>39</v>
      </c>
      <c r="J13" s="18">
        <f t="shared" si="1"/>
        <v>2880</v>
      </c>
      <c r="K13" s="14" t="s">
        <v>53</v>
      </c>
      <c r="L13" s="15" t="s">
        <v>54</v>
      </c>
      <c r="M13" s="14" t="s">
        <v>42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14">
        <v>4.0</v>
      </c>
      <c r="B14" s="14" t="s">
        <v>55</v>
      </c>
      <c r="C14" s="15" t="s">
        <v>56</v>
      </c>
      <c r="D14" s="15" t="s">
        <v>57</v>
      </c>
      <c r="E14" s="16">
        <v>72.0</v>
      </c>
      <c r="F14" s="14" t="s">
        <v>58</v>
      </c>
      <c r="G14" s="14" t="s">
        <v>59</v>
      </c>
      <c r="H14" s="17">
        <v>90.0</v>
      </c>
      <c r="I14" s="14" t="s">
        <v>60</v>
      </c>
      <c r="J14" s="18">
        <f t="shared" si="1"/>
        <v>6480</v>
      </c>
      <c r="K14" s="14" t="s">
        <v>61</v>
      </c>
      <c r="L14" s="15" t="s">
        <v>62</v>
      </c>
      <c r="M14" s="14" t="s">
        <v>63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14">
        <v>5.0</v>
      </c>
      <c r="B15" s="14" t="s">
        <v>64</v>
      </c>
      <c r="C15" s="15" t="s">
        <v>65</v>
      </c>
      <c r="D15" s="15" t="s">
        <v>66</v>
      </c>
      <c r="E15" s="16">
        <v>12.0</v>
      </c>
      <c r="F15" s="14" t="s">
        <v>13</v>
      </c>
      <c r="G15" s="14" t="s">
        <v>67</v>
      </c>
      <c r="H15" s="17">
        <v>500.0</v>
      </c>
      <c r="I15" s="14" t="s">
        <v>39</v>
      </c>
      <c r="J15" s="18">
        <f t="shared" si="1"/>
        <v>6000</v>
      </c>
      <c r="K15" s="14" t="s">
        <v>68</v>
      </c>
      <c r="L15" s="15" t="s">
        <v>69</v>
      </c>
      <c r="M15" s="14" t="s">
        <v>70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14">
        <v>6.0</v>
      </c>
      <c r="B16" s="14" t="s">
        <v>71</v>
      </c>
      <c r="C16" s="15" t="s">
        <v>72</v>
      </c>
      <c r="D16" s="15" t="s">
        <v>73</v>
      </c>
      <c r="E16" s="16">
        <v>12.0</v>
      </c>
      <c r="F16" s="14" t="s">
        <v>13</v>
      </c>
      <c r="G16" s="14" t="s">
        <v>74</v>
      </c>
      <c r="H16" s="17">
        <v>650.0</v>
      </c>
      <c r="I16" s="14" t="s">
        <v>60</v>
      </c>
      <c r="J16" s="18">
        <f t="shared" si="1"/>
        <v>7800</v>
      </c>
      <c r="K16" s="14" t="s">
        <v>75</v>
      </c>
      <c r="L16" s="15" t="s">
        <v>76</v>
      </c>
      <c r="M16" s="14" t="s">
        <v>70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14">
        <v>7.0</v>
      </c>
      <c r="B17" s="14" t="s">
        <v>77</v>
      </c>
      <c r="C17" s="15" t="s">
        <v>78</v>
      </c>
      <c r="D17" s="15" t="s">
        <v>79</v>
      </c>
      <c r="E17" s="16">
        <v>360.0</v>
      </c>
      <c r="F17" s="14" t="s">
        <v>58</v>
      </c>
      <c r="G17" s="14" t="s">
        <v>80</v>
      </c>
      <c r="H17" s="17">
        <v>45.0</v>
      </c>
      <c r="I17" s="14" t="s">
        <v>39</v>
      </c>
      <c r="J17" s="18">
        <f t="shared" si="1"/>
        <v>16200</v>
      </c>
      <c r="K17" s="14" t="s">
        <v>81</v>
      </c>
      <c r="L17" s="15" t="s">
        <v>82</v>
      </c>
      <c r="M17" s="14" t="s">
        <v>70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14">
        <v>8.0</v>
      </c>
      <c r="B18" s="14" t="s">
        <v>83</v>
      </c>
      <c r="C18" s="15" t="s">
        <v>84</v>
      </c>
      <c r="D18" s="15" t="s">
        <v>66</v>
      </c>
      <c r="E18" s="16">
        <v>12.0</v>
      </c>
      <c r="F18" s="14" t="s">
        <v>13</v>
      </c>
      <c r="G18" s="14" t="s">
        <v>85</v>
      </c>
      <c r="H18" s="17">
        <v>350.0</v>
      </c>
      <c r="I18" s="14" t="s">
        <v>86</v>
      </c>
      <c r="J18" s="18">
        <f t="shared" si="1"/>
        <v>4200</v>
      </c>
      <c r="K18" s="14" t="s">
        <v>87</v>
      </c>
      <c r="L18" s="15" t="s">
        <v>88</v>
      </c>
      <c r="M18" s="14" t="s">
        <v>70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14">
        <v>9.0</v>
      </c>
      <c r="B19" s="14" t="s">
        <v>89</v>
      </c>
      <c r="C19" s="15" t="s">
        <v>90</v>
      </c>
      <c r="D19" s="15" t="s">
        <v>91</v>
      </c>
      <c r="E19" s="16">
        <v>1.0</v>
      </c>
      <c r="F19" s="14" t="s">
        <v>92</v>
      </c>
      <c r="G19" s="14" t="s">
        <v>93</v>
      </c>
      <c r="H19" s="17">
        <v>4160.0</v>
      </c>
      <c r="I19" s="14" t="s">
        <v>60</v>
      </c>
      <c r="J19" s="18">
        <f t="shared" si="1"/>
        <v>4160</v>
      </c>
      <c r="K19" s="14" t="s">
        <v>94</v>
      </c>
      <c r="L19" s="15" t="s">
        <v>95</v>
      </c>
      <c r="M19" s="14" t="s">
        <v>70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19"/>
      <c r="B20" s="19"/>
      <c r="C20" s="19"/>
      <c r="D20" s="19"/>
      <c r="E20" s="20"/>
      <c r="F20" s="19"/>
      <c r="G20" s="19"/>
      <c r="H20" s="21"/>
      <c r="I20" s="19"/>
      <c r="J20" s="22"/>
      <c r="K20" s="19"/>
      <c r="L20" s="19"/>
      <c r="M20" s="19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0" customHeight="1">
      <c r="A21" s="19"/>
      <c r="B21" s="19"/>
      <c r="C21" s="19"/>
      <c r="D21" s="19"/>
      <c r="E21" s="20"/>
      <c r="F21" s="19"/>
      <c r="G21" s="19"/>
      <c r="H21" s="21"/>
      <c r="I21" s="23" t="s">
        <v>96</v>
      </c>
      <c r="J21" s="24">
        <f>SUM(J11:J19)</f>
        <v>65000</v>
      </c>
      <c r="K21" s="19"/>
      <c r="L21" s="19"/>
      <c r="M21" s="19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42.0" customHeight="1">
      <c r="A23" s="25" t="s">
        <v>97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7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42.0" customHeight="1">
      <c r="A24" s="28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0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M1"/>
    <mergeCell ref="A2:M2"/>
    <mergeCell ref="A23:M24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19.88"/>
    <col customWidth="1" min="2" max="2" width="28.0"/>
    <col customWidth="1" min="3" max="3" width="26.63"/>
    <col customWidth="1" min="4" max="4" width="58.63"/>
    <col customWidth="1" min="5" max="5" width="8.13"/>
    <col customWidth="1" min="6" max="7" width="13.88"/>
    <col customWidth="1" min="8" max="8" width="14.0"/>
    <col customWidth="1" min="9" max="10" width="16.0"/>
    <col customWidth="1" min="11" max="12" width="42.0"/>
    <col customWidth="1" min="13" max="13" width="30.0"/>
    <col customWidth="1" min="14" max="26" width="8.63"/>
  </cols>
  <sheetData>
    <row r="1" ht="27.75" customHeight="1">
      <c r="A1" s="31" t="s">
        <v>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3.75" customHeight="1">
      <c r="A2" s="5" t="s">
        <v>99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45.0" customHeight="1">
      <c r="A4" s="6" t="s">
        <v>2</v>
      </c>
      <c r="B4" s="6" t="s">
        <v>3</v>
      </c>
      <c r="C4" s="6" t="s">
        <v>4</v>
      </c>
      <c r="D4" s="6" t="s">
        <v>5</v>
      </c>
      <c r="E4" s="4"/>
      <c r="F4" s="7" t="s">
        <v>6</v>
      </c>
      <c r="G4" s="7" t="s">
        <v>7</v>
      </c>
      <c r="H4" s="6" t="s">
        <v>8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4.0" customHeight="1">
      <c r="A5" s="8" t="s">
        <v>9</v>
      </c>
      <c r="B5" s="9">
        <v>530000.0</v>
      </c>
      <c r="C5" s="10" t="s">
        <v>10</v>
      </c>
      <c r="D5" s="8" t="s">
        <v>11</v>
      </c>
      <c r="E5" s="4"/>
      <c r="F5" s="11">
        <v>530000.0</v>
      </c>
      <c r="G5" s="11">
        <f>SUM(J11:J20)</f>
        <v>530000</v>
      </c>
      <c r="H5" s="11">
        <f>G5-F5</f>
        <v>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10" t="s">
        <v>100</v>
      </c>
      <c r="B6" s="9">
        <v>500.0</v>
      </c>
      <c r="C6" s="10" t="s">
        <v>101</v>
      </c>
      <c r="D6" s="10" t="s">
        <v>102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0" customHeight="1">
      <c r="A7" s="8" t="s">
        <v>103</v>
      </c>
      <c r="B7" s="9">
        <v>25.0</v>
      </c>
      <c r="C7" s="10" t="s">
        <v>104</v>
      </c>
      <c r="D7" s="8" t="s">
        <v>105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0" customHeight="1">
      <c r="A8" s="8" t="s">
        <v>106</v>
      </c>
      <c r="B8" s="9">
        <v>40.0</v>
      </c>
      <c r="C8" s="10" t="s">
        <v>107</v>
      </c>
      <c r="D8" s="8" t="s">
        <v>108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6.0" customHeight="1">
      <c r="A10" s="12" t="s">
        <v>22</v>
      </c>
      <c r="B10" s="12" t="s">
        <v>23</v>
      </c>
      <c r="C10" s="13" t="s">
        <v>24</v>
      </c>
      <c r="D10" s="13" t="s">
        <v>25</v>
      </c>
      <c r="E10" s="12" t="s">
        <v>26</v>
      </c>
      <c r="F10" s="12" t="s">
        <v>27</v>
      </c>
      <c r="G10" s="12" t="s">
        <v>28</v>
      </c>
      <c r="H10" s="12" t="s">
        <v>29</v>
      </c>
      <c r="I10" s="13" t="s">
        <v>30</v>
      </c>
      <c r="J10" s="12" t="s">
        <v>31</v>
      </c>
      <c r="K10" s="12" t="s">
        <v>32</v>
      </c>
      <c r="L10" s="13" t="s">
        <v>33</v>
      </c>
      <c r="M10" s="12" t="s">
        <v>34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14">
        <v>1.0</v>
      </c>
      <c r="B11" s="14" t="s">
        <v>109</v>
      </c>
      <c r="C11" s="15" t="s">
        <v>110</v>
      </c>
      <c r="D11" s="15" t="s">
        <v>111</v>
      </c>
      <c r="E11" s="16">
        <v>1.0</v>
      </c>
      <c r="F11" s="14" t="s">
        <v>92</v>
      </c>
      <c r="G11" s="14" t="s">
        <v>112</v>
      </c>
      <c r="H11" s="17">
        <v>35000.0</v>
      </c>
      <c r="I11" s="14" t="s">
        <v>86</v>
      </c>
      <c r="J11" s="18">
        <f t="shared" ref="J11:J20" si="1">IF(OR(E11="",H11=""),"",ROUND(E11*H11,0))</f>
        <v>35000</v>
      </c>
      <c r="K11" s="14" t="s">
        <v>113</v>
      </c>
      <c r="L11" s="15" t="s">
        <v>114</v>
      </c>
      <c r="M11" s="14" t="s">
        <v>115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14">
        <v>2.0</v>
      </c>
      <c r="B12" s="14" t="s">
        <v>116</v>
      </c>
      <c r="C12" s="15" t="s">
        <v>117</v>
      </c>
      <c r="D12" s="15" t="s">
        <v>118</v>
      </c>
      <c r="E12" s="16">
        <v>500.0</v>
      </c>
      <c r="F12" s="14" t="s">
        <v>101</v>
      </c>
      <c r="G12" s="14" t="s">
        <v>119</v>
      </c>
      <c r="H12" s="17">
        <v>220.0</v>
      </c>
      <c r="I12" s="14" t="s">
        <v>60</v>
      </c>
      <c r="J12" s="18">
        <f t="shared" si="1"/>
        <v>110000</v>
      </c>
      <c r="K12" s="14" t="s">
        <v>120</v>
      </c>
      <c r="L12" s="15" t="s">
        <v>121</v>
      </c>
      <c r="M12" s="14" t="s">
        <v>122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14">
        <v>3.0</v>
      </c>
      <c r="B13" s="14" t="s">
        <v>123</v>
      </c>
      <c r="C13" s="15" t="s">
        <v>124</v>
      </c>
      <c r="D13" s="15" t="s">
        <v>125</v>
      </c>
      <c r="E13" s="16">
        <v>500.0</v>
      </c>
      <c r="F13" s="14" t="s">
        <v>101</v>
      </c>
      <c r="G13" s="14" t="s">
        <v>126</v>
      </c>
      <c r="H13" s="17">
        <v>75.0</v>
      </c>
      <c r="I13" s="14" t="s">
        <v>60</v>
      </c>
      <c r="J13" s="18">
        <f t="shared" si="1"/>
        <v>37500</v>
      </c>
      <c r="K13" s="14" t="s">
        <v>127</v>
      </c>
      <c r="L13" s="15" t="s">
        <v>128</v>
      </c>
      <c r="M13" s="14" t="s">
        <v>122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14">
        <v>4.0</v>
      </c>
      <c r="B14" s="14" t="s">
        <v>129</v>
      </c>
      <c r="C14" s="15" t="s">
        <v>130</v>
      </c>
      <c r="D14" s="15" t="s">
        <v>131</v>
      </c>
      <c r="E14" s="16">
        <v>25.0</v>
      </c>
      <c r="F14" s="14" t="s">
        <v>104</v>
      </c>
      <c r="G14" s="14" t="s">
        <v>132</v>
      </c>
      <c r="H14" s="17">
        <v>2500.0</v>
      </c>
      <c r="I14" s="14" t="s">
        <v>60</v>
      </c>
      <c r="J14" s="18">
        <f t="shared" si="1"/>
        <v>62500</v>
      </c>
      <c r="K14" s="14" t="s">
        <v>133</v>
      </c>
      <c r="L14" s="15" t="s">
        <v>134</v>
      </c>
      <c r="M14" s="14" t="s">
        <v>135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14">
        <v>5.0</v>
      </c>
      <c r="B15" s="14" t="s">
        <v>136</v>
      </c>
      <c r="C15" s="15" t="s">
        <v>137</v>
      </c>
      <c r="D15" s="15" t="s">
        <v>138</v>
      </c>
      <c r="E15" s="16">
        <v>40.0</v>
      </c>
      <c r="F15" s="14" t="s">
        <v>107</v>
      </c>
      <c r="G15" s="14" t="s">
        <v>139</v>
      </c>
      <c r="H15" s="17">
        <v>1250.0</v>
      </c>
      <c r="I15" s="14" t="s">
        <v>60</v>
      </c>
      <c r="J15" s="18">
        <f t="shared" si="1"/>
        <v>50000</v>
      </c>
      <c r="K15" s="14" t="s">
        <v>140</v>
      </c>
      <c r="L15" s="15" t="s">
        <v>141</v>
      </c>
      <c r="M15" s="14" t="s">
        <v>135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14">
        <v>6.0</v>
      </c>
      <c r="B16" s="14" t="s">
        <v>142</v>
      </c>
      <c r="C16" s="15" t="s">
        <v>143</v>
      </c>
      <c r="D16" s="15" t="s">
        <v>144</v>
      </c>
      <c r="E16" s="16">
        <v>12.0</v>
      </c>
      <c r="F16" s="14" t="s">
        <v>13</v>
      </c>
      <c r="G16" s="14" t="s">
        <v>145</v>
      </c>
      <c r="H16" s="17">
        <v>4000.0</v>
      </c>
      <c r="I16" s="14" t="s">
        <v>60</v>
      </c>
      <c r="J16" s="18">
        <f t="shared" si="1"/>
        <v>48000</v>
      </c>
      <c r="K16" s="14" t="s">
        <v>146</v>
      </c>
      <c r="L16" s="15" t="s">
        <v>147</v>
      </c>
      <c r="M16" s="14" t="s">
        <v>115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14">
        <v>7.0</v>
      </c>
      <c r="B17" s="14" t="s">
        <v>148</v>
      </c>
      <c r="C17" s="15" t="s">
        <v>149</v>
      </c>
      <c r="D17" s="15" t="s">
        <v>150</v>
      </c>
      <c r="E17" s="16">
        <v>12.0</v>
      </c>
      <c r="F17" s="14" t="s">
        <v>13</v>
      </c>
      <c r="G17" s="14" t="s">
        <v>151</v>
      </c>
      <c r="H17" s="17">
        <v>7000.0</v>
      </c>
      <c r="I17" s="14" t="s">
        <v>152</v>
      </c>
      <c r="J17" s="18">
        <f t="shared" si="1"/>
        <v>84000</v>
      </c>
      <c r="K17" s="14" t="s">
        <v>153</v>
      </c>
      <c r="L17" s="15" t="s">
        <v>154</v>
      </c>
      <c r="M17" s="14" t="s">
        <v>155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14">
        <v>8.0</v>
      </c>
      <c r="B18" s="14" t="s">
        <v>156</v>
      </c>
      <c r="C18" s="15" t="s">
        <v>157</v>
      </c>
      <c r="D18" s="15" t="s">
        <v>158</v>
      </c>
      <c r="E18" s="16">
        <v>1.0</v>
      </c>
      <c r="F18" s="14" t="s">
        <v>92</v>
      </c>
      <c r="G18" s="14" t="s">
        <v>159</v>
      </c>
      <c r="H18" s="17">
        <v>18000.0</v>
      </c>
      <c r="I18" s="14" t="s">
        <v>86</v>
      </c>
      <c r="J18" s="18">
        <f t="shared" si="1"/>
        <v>18000</v>
      </c>
      <c r="K18" s="14" t="s">
        <v>160</v>
      </c>
      <c r="L18" s="15" t="s">
        <v>161</v>
      </c>
      <c r="M18" s="14" t="s">
        <v>115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14">
        <v>9.0</v>
      </c>
      <c r="B19" s="14" t="s">
        <v>162</v>
      </c>
      <c r="C19" s="15" t="s">
        <v>163</v>
      </c>
      <c r="D19" s="15" t="s">
        <v>164</v>
      </c>
      <c r="E19" s="16">
        <v>1.0</v>
      </c>
      <c r="F19" s="14" t="s">
        <v>92</v>
      </c>
      <c r="G19" s="14" t="s">
        <v>112</v>
      </c>
      <c r="H19" s="17">
        <v>35000.0</v>
      </c>
      <c r="I19" s="14" t="s">
        <v>86</v>
      </c>
      <c r="J19" s="18">
        <f t="shared" si="1"/>
        <v>35000</v>
      </c>
      <c r="K19" s="14" t="s">
        <v>165</v>
      </c>
      <c r="L19" s="15" t="s">
        <v>166</v>
      </c>
      <c r="M19" s="14" t="s">
        <v>70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14">
        <v>10.0</v>
      </c>
      <c r="B20" s="14" t="s">
        <v>167</v>
      </c>
      <c r="C20" s="15" t="s">
        <v>168</v>
      </c>
      <c r="D20" s="15" t="s">
        <v>169</v>
      </c>
      <c r="E20" s="16">
        <v>1.0</v>
      </c>
      <c r="F20" s="14" t="s">
        <v>92</v>
      </c>
      <c r="G20" s="14" t="s">
        <v>170</v>
      </c>
      <c r="H20" s="17">
        <v>50000.0</v>
      </c>
      <c r="I20" s="14" t="s">
        <v>60</v>
      </c>
      <c r="J20" s="18">
        <f t="shared" si="1"/>
        <v>50000</v>
      </c>
      <c r="K20" s="14" t="s">
        <v>171</v>
      </c>
      <c r="L20" s="15" t="s">
        <v>172</v>
      </c>
      <c r="M20" s="14" t="s">
        <v>70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19"/>
      <c r="B21" s="19"/>
      <c r="C21" s="19"/>
      <c r="D21" s="19"/>
      <c r="E21" s="20"/>
      <c r="F21" s="19"/>
      <c r="G21" s="19"/>
      <c r="H21" s="21"/>
      <c r="I21" s="19"/>
      <c r="J21" s="22"/>
      <c r="K21" s="19"/>
      <c r="L21" s="19"/>
      <c r="M21" s="19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0" customHeight="1">
      <c r="A22" s="19"/>
      <c r="B22" s="19"/>
      <c r="C22" s="19"/>
      <c r="D22" s="19"/>
      <c r="E22" s="20"/>
      <c r="F22" s="19"/>
      <c r="G22" s="19"/>
      <c r="H22" s="21"/>
      <c r="I22" s="23" t="s">
        <v>96</v>
      </c>
      <c r="J22" s="24">
        <f>SUM(J11:J20)</f>
        <v>530000</v>
      </c>
      <c r="K22" s="19"/>
      <c r="L22" s="19"/>
      <c r="M22" s="19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42.0" customHeight="1">
      <c r="A24" s="25" t="s">
        <v>173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7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42.0" customHeight="1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30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M1"/>
    <mergeCell ref="A2:M2"/>
    <mergeCell ref="A24:M25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18.25"/>
    <col customWidth="1" min="2" max="3" width="28.0"/>
    <col customWidth="1" min="4" max="4" width="56.25"/>
    <col customWidth="1" min="5" max="5" width="10.0"/>
    <col customWidth="1" min="6" max="6" width="14.38"/>
    <col customWidth="1" min="7" max="7" width="28.0"/>
    <col customWidth="1" min="8" max="8" width="14.0"/>
    <col customWidth="1" min="9" max="10" width="16.0"/>
    <col customWidth="1" min="11" max="12" width="42.0"/>
    <col customWidth="1" min="13" max="13" width="30.0"/>
    <col customWidth="1" min="14" max="26" width="8.63"/>
  </cols>
  <sheetData>
    <row r="1" ht="27.75" customHeight="1">
      <c r="A1" s="1" t="s">
        <v>174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3.75" customHeight="1">
      <c r="A2" s="5" t="s">
        <v>175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54.75" customHeight="1">
      <c r="A4" s="6" t="s">
        <v>2</v>
      </c>
      <c r="B4" s="6" t="s">
        <v>3</v>
      </c>
      <c r="C4" s="6" t="s">
        <v>4</v>
      </c>
      <c r="D4" s="6" t="s">
        <v>5</v>
      </c>
      <c r="E4" s="4"/>
      <c r="F4" s="7" t="s">
        <v>6</v>
      </c>
      <c r="G4" s="7" t="s">
        <v>7</v>
      </c>
      <c r="H4" s="6" t="s">
        <v>8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4.0" customHeight="1">
      <c r="A5" s="8" t="s">
        <v>9</v>
      </c>
      <c r="B5" s="9">
        <v>230000.0</v>
      </c>
      <c r="C5" s="10" t="s">
        <v>10</v>
      </c>
      <c r="D5" s="8" t="s">
        <v>11</v>
      </c>
      <c r="E5" s="4"/>
      <c r="F5" s="11">
        <v>230000.0</v>
      </c>
      <c r="G5" s="11">
        <f>SUM(J11:J17)</f>
        <v>230000</v>
      </c>
      <c r="H5" s="11">
        <f>G5-F5</f>
        <v>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7.0" customHeight="1">
      <c r="A6" s="8" t="s">
        <v>176</v>
      </c>
      <c r="B6" s="9">
        <v>4600.0</v>
      </c>
      <c r="C6" s="10" t="s">
        <v>177</v>
      </c>
      <c r="D6" s="8" t="s">
        <v>178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7.0" customHeight="1">
      <c r="A7" s="8" t="s">
        <v>179</v>
      </c>
      <c r="B7" s="9">
        <v>50.0</v>
      </c>
      <c r="C7" s="10" t="s">
        <v>180</v>
      </c>
      <c r="D7" s="8" t="s">
        <v>181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7.0" customHeight="1">
      <c r="A8" s="8" t="s">
        <v>18</v>
      </c>
      <c r="B8" s="9" t="s">
        <v>182</v>
      </c>
      <c r="C8" s="10" t="s">
        <v>20</v>
      </c>
      <c r="D8" s="8" t="s">
        <v>183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6.0" customHeight="1">
      <c r="A10" s="12" t="s">
        <v>22</v>
      </c>
      <c r="B10" s="12" t="s">
        <v>23</v>
      </c>
      <c r="C10" s="13" t="s">
        <v>24</v>
      </c>
      <c r="D10" s="13" t="s">
        <v>25</v>
      </c>
      <c r="E10" s="12" t="s">
        <v>26</v>
      </c>
      <c r="F10" s="12" t="s">
        <v>27</v>
      </c>
      <c r="G10" s="12" t="s">
        <v>28</v>
      </c>
      <c r="H10" s="12" t="s">
        <v>29</v>
      </c>
      <c r="I10" s="13" t="s">
        <v>30</v>
      </c>
      <c r="J10" s="12" t="s">
        <v>31</v>
      </c>
      <c r="K10" s="12" t="s">
        <v>32</v>
      </c>
      <c r="L10" s="13" t="s">
        <v>33</v>
      </c>
      <c r="M10" s="12" t="s">
        <v>34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14">
        <v>1.0</v>
      </c>
      <c r="B11" s="14" t="s">
        <v>184</v>
      </c>
      <c r="C11" s="15" t="s">
        <v>185</v>
      </c>
      <c r="D11" s="15" t="s">
        <v>186</v>
      </c>
      <c r="E11" s="16">
        <v>4600.0</v>
      </c>
      <c r="F11" s="14" t="s">
        <v>177</v>
      </c>
      <c r="G11" s="14" t="s">
        <v>187</v>
      </c>
      <c r="H11" s="17">
        <v>22.0</v>
      </c>
      <c r="I11" s="14" t="s">
        <v>60</v>
      </c>
      <c r="J11" s="18">
        <f t="shared" ref="J11:J17" si="1">IF(OR(E11="",H11=""),"",ROUND(E11*H11,0))</f>
        <v>101200</v>
      </c>
      <c r="K11" s="14" t="s">
        <v>188</v>
      </c>
      <c r="L11" s="15" t="s">
        <v>189</v>
      </c>
      <c r="M11" s="14" t="s">
        <v>190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14">
        <v>2.0</v>
      </c>
      <c r="B12" s="14" t="s">
        <v>191</v>
      </c>
      <c r="C12" s="15" t="s">
        <v>192</v>
      </c>
      <c r="D12" s="15" t="s">
        <v>193</v>
      </c>
      <c r="E12" s="16">
        <v>4600.0</v>
      </c>
      <c r="F12" s="14" t="s">
        <v>177</v>
      </c>
      <c r="G12" s="14" t="s">
        <v>194</v>
      </c>
      <c r="H12" s="17">
        <v>4.0</v>
      </c>
      <c r="I12" s="14" t="s">
        <v>86</v>
      </c>
      <c r="J12" s="18">
        <f t="shared" si="1"/>
        <v>18400</v>
      </c>
      <c r="K12" s="14" t="s">
        <v>195</v>
      </c>
      <c r="L12" s="15" t="s">
        <v>196</v>
      </c>
      <c r="M12" s="14" t="s">
        <v>190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14">
        <v>3.0</v>
      </c>
      <c r="B13" s="14" t="s">
        <v>197</v>
      </c>
      <c r="C13" s="15" t="s">
        <v>198</v>
      </c>
      <c r="D13" s="15" t="s">
        <v>199</v>
      </c>
      <c r="E13" s="16">
        <v>4600.0</v>
      </c>
      <c r="F13" s="14" t="s">
        <v>177</v>
      </c>
      <c r="G13" s="14" t="s">
        <v>200</v>
      </c>
      <c r="H13" s="17">
        <v>15.0</v>
      </c>
      <c r="I13" s="14" t="s">
        <v>60</v>
      </c>
      <c r="J13" s="18">
        <f t="shared" si="1"/>
        <v>69000</v>
      </c>
      <c r="K13" s="14" t="s">
        <v>201</v>
      </c>
      <c r="L13" s="15" t="s">
        <v>202</v>
      </c>
      <c r="M13" s="14" t="s">
        <v>190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14">
        <v>4.0</v>
      </c>
      <c r="B14" s="14" t="s">
        <v>203</v>
      </c>
      <c r="C14" s="15" t="s">
        <v>204</v>
      </c>
      <c r="D14" s="15" t="s">
        <v>205</v>
      </c>
      <c r="E14" s="16">
        <v>12.0</v>
      </c>
      <c r="F14" s="14" t="s">
        <v>13</v>
      </c>
      <c r="G14" s="14" t="s">
        <v>206</v>
      </c>
      <c r="H14" s="17">
        <v>1650.0</v>
      </c>
      <c r="I14" s="14" t="s">
        <v>60</v>
      </c>
      <c r="J14" s="18">
        <f t="shared" si="1"/>
        <v>19800</v>
      </c>
      <c r="K14" s="14" t="s">
        <v>207</v>
      </c>
      <c r="L14" s="15" t="s">
        <v>208</v>
      </c>
      <c r="M14" s="14" t="s">
        <v>70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14">
        <v>5.0</v>
      </c>
      <c r="B15" s="14" t="s">
        <v>209</v>
      </c>
      <c r="C15" s="15" t="s">
        <v>210</v>
      </c>
      <c r="D15" s="15" t="s">
        <v>211</v>
      </c>
      <c r="E15" s="16">
        <v>4600.0</v>
      </c>
      <c r="F15" s="14" t="s">
        <v>177</v>
      </c>
      <c r="G15" s="14" t="s">
        <v>212</v>
      </c>
      <c r="H15" s="17">
        <v>2.5</v>
      </c>
      <c r="I15" s="14" t="s">
        <v>86</v>
      </c>
      <c r="J15" s="18">
        <f t="shared" si="1"/>
        <v>11500</v>
      </c>
      <c r="K15" s="14" t="s">
        <v>213</v>
      </c>
      <c r="L15" s="15" t="s">
        <v>214</v>
      </c>
      <c r="M15" s="14" t="s">
        <v>215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14">
        <v>6.0</v>
      </c>
      <c r="B16" s="14" t="s">
        <v>216</v>
      </c>
      <c r="C16" s="15" t="s">
        <v>217</v>
      </c>
      <c r="D16" s="15" t="s">
        <v>218</v>
      </c>
      <c r="E16" s="16">
        <v>1.0</v>
      </c>
      <c r="F16" s="14" t="s">
        <v>92</v>
      </c>
      <c r="G16" s="14" t="s">
        <v>219</v>
      </c>
      <c r="H16" s="17">
        <v>3500.0</v>
      </c>
      <c r="I16" s="14" t="s">
        <v>86</v>
      </c>
      <c r="J16" s="18">
        <f t="shared" si="1"/>
        <v>3500</v>
      </c>
      <c r="K16" s="14" t="s">
        <v>220</v>
      </c>
      <c r="L16" s="15" t="s">
        <v>221</v>
      </c>
      <c r="M16" s="14" t="s">
        <v>70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14">
        <v>7.0</v>
      </c>
      <c r="B17" s="14" t="s">
        <v>222</v>
      </c>
      <c r="C17" s="15" t="s">
        <v>223</v>
      </c>
      <c r="D17" s="15" t="s">
        <v>224</v>
      </c>
      <c r="E17" s="16">
        <v>1.0</v>
      </c>
      <c r="F17" s="14" t="s">
        <v>92</v>
      </c>
      <c r="G17" s="14" t="s">
        <v>225</v>
      </c>
      <c r="H17" s="17">
        <v>6600.0</v>
      </c>
      <c r="I17" s="14" t="s">
        <v>86</v>
      </c>
      <c r="J17" s="18">
        <f t="shared" si="1"/>
        <v>6600</v>
      </c>
      <c r="K17" s="14" t="s">
        <v>226</v>
      </c>
      <c r="L17" s="15" t="s">
        <v>227</v>
      </c>
      <c r="M17" s="14" t="s">
        <v>70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19"/>
      <c r="B18" s="19"/>
      <c r="C18" s="19"/>
      <c r="D18" s="19"/>
      <c r="E18" s="20"/>
      <c r="F18" s="19"/>
      <c r="G18" s="19"/>
      <c r="H18" s="21"/>
      <c r="I18" s="19"/>
      <c r="J18" s="22"/>
      <c r="K18" s="19"/>
      <c r="L18" s="19"/>
      <c r="M18" s="19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0" customHeight="1">
      <c r="A19" s="19"/>
      <c r="B19" s="19"/>
      <c r="C19" s="19"/>
      <c r="D19" s="19"/>
      <c r="E19" s="20"/>
      <c r="F19" s="19"/>
      <c r="G19" s="19"/>
      <c r="H19" s="21"/>
      <c r="I19" s="23" t="s">
        <v>96</v>
      </c>
      <c r="J19" s="24">
        <f>SUM(J11:J17)</f>
        <v>230000</v>
      </c>
      <c r="K19" s="19"/>
      <c r="L19" s="19"/>
      <c r="M19" s="19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42.0" customHeight="1">
      <c r="A21" s="25" t="s">
        <v>228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7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42.0" customHeight="1">
      <c r="A22" s="28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0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M1"/>
    <mergeCell ref="A2:M2"/>
    <mergeCell ref="A21:M2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37.38"/>
    <col customWidth="1" min="2" max="3" width="28.0"/>
    <col customWidth="1" min="4" max="4" width="42.0"/>
    <col customWidth="1" min="5" max="5" width="10.0"/>
    <col customWidth="1" min="6" max="6" width="17.0"/>
    <col customWidth="1" min="7" max="7" width="28.0"/>
    <col customWidth="1" min="8" max="8" width="14.0"/>
    <col customWidth="1" min="9" max="10" width="16.0"/>
    <col customWidth="1" min="11" max="12" width="42.0"/>
    <col customWidth="1" min="13" max="13" width="30.0"/>
    <col customWidth="1" min="14" max="26" width="8.63"/>
  </cols>
  <sheetData>
    <row r="1" ht="27.75" customHeight="1">
      <c r="A1" s="1" t="s">
        <v>229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3.75" customHeight="1">
      <c r="A2" s="5" t="s">
        <v>230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51.75" customHeight="1">
      <c r="A4" s="6" t="s">
        <v>2</v>
      </c>
      <c r="B4" s="6" t="s">
        <v>3</v>
      </c>
      <c r="C4" s="6" t="s">
        <v>4</v>
      </c>
      <c r="D4" s="6" t="s">
        <v>5</v>
      </c>
      <c r="E4" s="4"/>
      <c r="F4" s="7" t="s">
        <v>6</v>
      </c>
      <c r="G4" s="7" t="s">
        <v>7</v>
      </c>
      <c r="H4" s="6" t="s">
        <v>8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4.0" customHeight="1">
      <c r="A5" s="10" t="s">
        <v>231</v>
      </c>
      <c r="B5" s="9">
        <v>2700000.0</v>
      </c>
      <c r="C5" s="10" t="s">
        <v>10</v>
      </c>
      <c r="D5" s="8" t="s">
        <v>232</v>
      </c>
      <c r="E5" s="4"/>
      <c r="F5" s="11">
        <v>2700000.0</v>
      </c>
      <c r="G5" s="11">
        <f>J20</f>
        <v>2700000</v>
      </c>
      <c r="H5" s="11">
        <f>G5-F5</f>
        <v>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8" t="s">
        <v>233</v>
      </c>
      <c r="B6" s="9">
        <v>2700.0</v>
      </c>
      <c r="C6" s="10" t="s">
        <v>234</v>
      </c>
      <c r="D6" s="10" t="s">
        <v>235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8" t="s">
        <v>236</v>
      </c>
      <c r="B7" s="9">
        <v>1000.0</v>
      </c>
      <c r="C7" s="10" t="s">
        <v>237</v>
      </c>
      <c r="D7" s="8" t="s">
        <v>238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8" t="s">
        <v>239</v>
      </c>
      <c r="B8" s="9">
        <v>20.0</v>
      </c>
      <c r="C8" s="10" t="s">
        <v>240</v>
      </c>
      <c r="D8" s="10" t="s">
        <v>241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6.0" customHeight="1">
      <c r="A10" s="12" t="s">
        <v>22</v>
      </c>
      <c r="B10" s="12" t="s">
        <v>23</v>
      </c>
      <c r="C10" s="13" t="s">
        <v>24</v>
      </c>
      <c r="D10" s="13" t="s">
        <v>25</v>
      </c>
      <c r="E10" s="12" t="s">
        <v>26</v>
      </c>
      <c r="F10" s="12" t="s">
        <v>27</v>
      </c>
      <c r="G10" s="12" t="s">
        <v>28</v>
      </c>
      <c r="H10" s="12" t="s">
        <v>29</v>
      </c>
      <c r="I10" s="13" t="s">
        <v>30</v>
      </c>
      <c r="J10" s="12" t="s">
        <v>31</v>
      </c>
      <c r="K10" s="12" t="s">
        <v>32</v>
      </c>
      <c r="L10" s="13" t="s">
        <v>33</v>
      </c>
      <c r="M10" s="12" t="s">
        <v>34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14">
        <v>1.0</v>
      </c>
      <c r="B11" s="14" t="s">
        <v>242</v>
      </c>
      <c r="C11" s="15" t="s">
        <v>243</v>
      </c>
      <c r="D11" s="15" t="s">
        <v>244</v>
      </c>
      <c r="E11" s="16">
        <v>2700.0</v>
      </c>
      <c r="F11" s="14" t="s">
        <v>234</v>
      </c>
      <c r="G11" s="14" t="s">
        <v>245</v>
      </c>
      <c r="H11" s="17">
        <v>981.481481</v>
      </c>
      <c r="I11" s="14" t="s">
        <v>246</v>
      </c>
      <c r="J11" s="18">
        <f t="shared" ref="J11:J17" si="1">IF(OR(E11="",H11=""),"",ROUND(E11*H11,0))</f>
        <v>2650000</v>
      </c>
      <c r="K11" s="14" t="s">
        <v>247</v>
      </c>
      <c r="L11" s="15" t="s">
        <v>248</v>
      </c>
      <c r="M11" s="14" t="s">
        <v>249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14">
        <v>2.0</v>
      </c>
      <c r="B12" s="14" t="s">
        <v>250</v>
      </c>
      <c r="C12" s="15" t="s">
        <v>251</v>
      </c>
      <c r="D12" s="15" t="s">
        <v>252</v>
      </c>
      <c r="E12" s="16">
        <v>1.0</v>
      </c>
      <c r="F12" s="14" t="s">
        <v>92</v>
      </c>
      <c r="G12" s="14" t="s">
        <v>253</v>
      </c>
      <c r="H12" s="17">
        <v>170000.0</v>
      </c>
      <c r="I12" s="14" t="s">
        <v>60</v>
      </c>
      <c r="J12" s="18">
        <f t="shared" si="1"/>
        <v>170000</v>
      </c>
      <c r="K12" s="14" t="s">
        <v>254</v>
      </c>
      <c r="L12" s="15" t="s">
        <v>255</v>
      </c>
      <c r="M12" s="14" t="s">
        <v>70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14">
        <v>3.0</v>
      </c>
      <c r="B13" s="14" t="s">
        <v>256</v>
      </c>
      <c r="C13" s="15" t="s">
        <v>257</v>
      </c>
      <c r="D13" s="15" t="s">
        <v>258</v>
      </c>
      <c r="E13" s="16">
        <v>1.0</v>
      </c>
      <c r="F13" s="14" t="s">
        <v>92</v>
      </c>
      <c r="G13" s="14" t="s">
        <v>259</v>
      </c>
      <c r="H13" s="17">
        <v>180000.0</v>
      </c>
      <c r="I13" s="14" t="s">
        <v>60</v>
      </c>
      <c r="J13" s="18">
        <f t="shared" si="1"/>
        <v>180000</v>
      </c>
      <c r="K13" s="14" t="s">
        <v>260</v>
      </c>
      <c r="L13" s="15" t="s">
        <v>261</v>
      </c>
      <c r="M13" s="14" t="s">
        <v>70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14">
        <v>4.0</v>
      </c>
      <c r="B14" s="14" t="s">
        <v>262</v>
      </c>
      <c r="C14" s="15" t="s">
        <v>263</v>
      </c>
      <c r="D14" s="15" t="s">
        <v>264</v>
      </c>
      <c r="E14" s="16">
        <v>1.0</v>
      </c>
      <c r="F14" s="14" t="s">
        <v>92</v>
      </c>
      <c r="G14" s="14" t="s">
        <v>265</v>
      </c>
      <c r="H14" s="17">
        <v>160000.0</v>
      </c>
      <c r="I14" s="14" t="s">
        <v>39</v>
      </c>
      <c r="J14" s="18">
        <f t="shared" si="1"/>
        <v>160000</v>
      </c>
      <c r="K14" s="14" t="s">
        <v>266</v>
      </c>
      <c r="L14" s="15" t="s">
        <v>267</v>
      </c>
      <c r="M14" s="14" t="s">
        <v>70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14">
        <v>5.0</v>
      </c>
      <c r="B15" s="14" t="s">
        <v>268</v>
      </c>
      <c r="C15" s="15" t="s">
        <v>269</v>
      </c>
      <c r="D15" s="14" t="s">
        <v>270</v>
      </c>
      <c r="E15" s="16">
        <v>1.0</v>
      </c>
      <c r="F15" s="14" t="s">
        <v>92</v>
      </c>
      <c r="G15" s="14" t="s">
        <v>271</v>
      </c>
      <c r="H15" s="17">
        <v>90000.0</v>
      </c>
      <c r="I15" s="14" t="s">
        <v>60</v>
      </c>
      <c r="J15" s="18">
        <f t="shared" si="1"/>
        <v>90000</v>
      </c>
      <c r="K15" s="14" t="s">
        <v>272</v>
      </c>
      <c r="L15" s="15" t="s">
        <v>273</v>
      </c>
      <c r="M15" s="14" t="s">
        <v>70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14">
        <v>6.0</v>
      </c>
      <c r="B16" s="14" t="s">
        <v>274</v>
      </c>
      <c r="C16" s="15" t="s">
        <v>275</v>
      </c>
      <c r="D16" s="15" t="s">
        <v>276</v>
      </c>
      <c r="E16" s="16">
        <v>1.0</v>
      </c>
      <c r="F16" s="14" t="s">
        <v>92</v>
      </c>
      <c r="G16" s="14" t="s">
        <v>277</v>
      </c>
      <c r="H16" s="17">
        <v>65000.0</v>
      </c>
      <c r="I16" s="14" t="s">
        <v>60</v>
      </c>
      <c r="J16" s="18">
        <f t="shared" si="1"/>
        <v>65000</v>
      </c>
      <c r="K16" s="14" t="s">
        <v>278</v>
      </c>
      <c r="L16" s="15" t="s">
        <v>279</v>
      </c>
      <c r="M16" s="14" t="s">
        <v>280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14">
        <v>7.0</v>
      </c>
      <c r="B17" s="14" t="s">
        <v>281</v>
      </c>
      <c r="C17" s="15" t="s">
        <v>282</v>
      </c>
      <c r="D17" s="15" t="s">
        <v>283</v>
      </c>
      <c r="E17" s="16">
        <v>1.0</v>
      </c>
      <c r="F17" s="14" t="s">
        <v>92</v>
      </c>
      <c r="G17" s="14" t="s">
        <v>284</v>
      </c>
      <c r="H17" s="17">
        <v>60000.0</v>
      </c>
      <c r="I17" s="14" t="s">
        <v>86</v>
      </c>
      <c r="J17" s="18">
        <f t="shared" si="1"/>
        <v>60000</v>
      </c>
      <c r="K17" s="14" t="s">
        <v>285</v>
      </c>
      <c r="L17" s="15" t="s">
        <v>286</v>
      </c>
      <c r="M17" s="14" t="s">
        <v>70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32"/>
      <c r="B18" s="32" t="s">
        <v>287</v>
      </c>
      <c r="C18" s="33" t="s">
        <v>288</v>
      </c>
      <c r="D18" s="32" t="s">
        <v>289</v>
      </c>
      <c r="E18" s="34"/>
      <c r="F18" s="32"/>
      <c r="G18" s="32"/>
      <c r="H18" s="35"/>
      <c r="I18" s="32"/>
      <c r="J18" s="36">
        <f>SUM(J11:J17)</f>
        <v>3375000</v>
      </c>
      <c r="K18" s="32" t="s">
        <v>290</v>
      </c>
      <c r="L18" s="33" t="s">
        <v>291</v>
      </c>
      <c r="M18" s="32" t="s">
        <v>292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32"/>
      <c r="B19" s="32" t="s">
        <v>293</v>
      </c>
      <c r="C19" s="33" t="s">
        <v>294</v>
      </c>
      <c r="D19" s="33" t="s">
        <v>295</v>
      </c>
      <c r="E19" s="34"/>
      <c r="F19" s="32"/>
      <c r="G19" s="32" t="s">
        <v>296</v>
      </c>
      <c r="H19" s="35"/>
      <c r="I19" s="32"/>
      <c r="J19" s="36">
        <f>-ROUND(20%*J18,0)</f>
        <v>-675000</v>
      </c>
      <c r="K19" s="32" t="s">
        <v>297</v>
      </c>
      <c r="L19" s="33" t="s">
        <v>298</v>
      </c>
      <c r="M19" s="32" t="s">
        <v>70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32"/>
      <c r="B20" s="32" t="s">
        <v>299</v>
      </c>
      <c r="C20" s="33" t="s">
        <v>300</v>
      </c>
      <c r="D20" s="33" t="s">
        <v>301</v>
      </c>
      <c r="E20" s="34">
        <v>2700.0</v>
      </c>
      <c r="F20" s="32" t="s">
        <v>234</v>
      </c>
      <c r="G20" s="32" t="s">
        <v>302</v>
      </c>
      <c r="H20" s="35">
        <v>1000.0</v>
      </c>
      <c r="I20" s="32" t="s">
        <v>303</v>
      </c>
      <c r="J20" s="36">
        <f>J18+J19</f>
        <v>2700000</v>
      </c>
      <c r="K20" s="32" t="s">
        <v>304</v>
      </c>
      <c r="L20" s="33" t="s">
        <v>305</v>
      </c>
      <c r="M20" s="32" t="s">
        <v>292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19"/>
      <c r="B21" s="19"/>
      <c r="C21" s="19"/>
      <c r="D21" s="19"/>
      <c r="E21" s="20"/>
      <c r="F21" s="19"/>
      <c r="G21" s="19"/>
      <c r="H21" s="21"/>
      <c r="I21" s="19"/>
      <c r="J21" s="22"/>
      <c r="K21" s="19"/>
      <c r="L21" s="19"/>
      <c r="M21" s="19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0" customHeight="1">
      <c r="A22" s="19"/>
      <c r="B22" s="19"/>
      <c r="C22" s="19"/>
      <c r="D22" s="19"/>
      <c r="E22" s="20"/>
      <c r="F22" s="19"/>
      <c r="G22" s="19"/>
      <c r="H22" s="21"/>
      <c r="I22" s="23" t="s">
        <v>306</v>
      </c>
      <c r="J22" s="24">
        <f>J20</f>
        <v>2700000</v>
      </c>
      <c r="K22" s="19"/>
      <c r="L22" s="19"/>
      <c r="M22" s="19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42.0" customHeight="1">
      <c r="A24" s="37" t="s">
        <v>307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7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42.0" customHeight="1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30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M1"/>
    <mergeCell ref="A2:M2"/>
    <mergeCell ref="A24:M25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18.0"/>
    <col customWidth="1" min="2" max="3" width="28.0"/>
    <col customWidth="1" min="4" max="6" width="18.0"/>
    <col customWidth="1" min="7" max="9" width="38.0"/>
    <col customWidth="1" min="10" max="26" width="8.63"/>
  </cols>
  <sheetData>
    <row r="1" ht="27.75" customHeight="1">
      <c r="A1" s="1" t="s">
        <v>308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0" customHeight="1">
      <c r="A2" s="5" t="s">
        <v>309</v>
      </c>
      <c r="B2" s="2"/>
      <c r="C2" s="2"/>
      <c r="D2" s="2"/>
      <c r="E2" s="2"/>
      <c r="F2" s="2"/>
      <c r="G2" s="2"/>
      <c r="H2" s="2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38" t="s">
        <v>310</v>
      </c>
      <c r="B4" s="38" t="s">
        <v>311</v>
      </c>
      <c r="C4" s="39" t="s">
        <v>312</v>
      </c>
      <c r="D4" s="38" t="s">
        <v>313</v>
      </c>
      <c r="E4" s="38" t="s">
        <v>314</v>
      </c>
      <c r="F4" s="38" t="s">
        <v>315</v>
      </c>
      <c r="G4" s="39" t="s">
        <v>316</v>
      </c>
      <c r="H4" s="39" t="s">
        <v>317</v>
      </c>
      <c r="I4" s="39" t="s">
        <v>318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14" t="s">
        <v>319</v>
      </c>
      <c r="B5" s="14" t="s">
        <v>320</v>
      </c>
      <c r="C5" s="15" t="s">
        <v>321</v>
      </c>
      <c r="D5" s="18">
        <v>65000.0</v>
      </c>
      <c r="E5" s="18">
        <f>'A_Lighting_EN-AR'!$G$5</f>
        <v>65000</v>
      </c>
      <c r="F5" s="18">
        <f t="shared" ref="F5:F8" si="1">ROUND(E5-D5,0)</f>
        <v>0</v>
      </c>
      <c r="G5" s="15" t="s">
        <v>322</v>
      </c>
      <c r="H5" s="15" t="s">
        <v>323</v>
      </c>
      <c r="I5" s="14" t="s">
        <v>324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14" t="s">
        <v>325</v>
      </c>
      <c r="B6" s="14" t="s">
        <v>326</v>
      </c>
      <c r="C6" s="15" t="s">
        <v>327</v>
      </c>
      <c r="D6" s="18">
        <v>530000.0</v>
      </c>
      <c r="E6" s="18">
        <f>'B_HVAC_Controls_EN-AR'!$G$5</f>
        <v>530000</v>
      </c>
      <c r="F6" s="18">
        <f t="shared" si="1"/>
        <v>0</v>
      </c>
      <c r="G6" s="15" t="s">
        <v>328</v>
      </c>
      <c r="H6" s="14" t="s">
        <v>329</v>
      </c>
      <c r="I6" s="14" t="s">
        <v>330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14" t="s">
        <v>331</v>
      </c>
      <c r="B7" s="14" t="s">
        <v>332</v>
      </c>
      <c r="C7" s="15" t="s">
        <v>333</v>
      </c>
      <c r="D7" s="18">
        <v>230000.0</v>
      </c>
      <c r="E7" s="18">
        <f>'C_Window_Film_EN-AR'!$G$5</f>
        <v>230000</v>
      </c>
      <c r="F7" s="18">
        <f t="shared" si="1"/>
        <v>0</v>
      </c>
      <c r="G7" s="15" t="s">
        <v>334</v>
      </c>
      <c r="H7" s="14" t="s">
        <v>335</v>
      </c>
      <c r="I7" s="14" t="s">
        <v>336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14" t="s">
        <v>337</v>
      </c>
      <c r="B8" s="14" t="s">
        <v>338</v>
      </c>
      <c r="C8" s="15" t="s">
        <v>339</v>
      </c>
      <c r="D8" s="18">
        <v>2700000.0</v>
      </c>
      <c r="E8" s="18">
        <f>'D_Chiller_Replacement_EN-AR'!$G$5</f>
        <v>2700000</v>
      </c>
      <c r="F8" s="18">
        <f t="shared" si="1"/>
        <v>0</v>
      </c>
      <c r="G8" s="15" t="s">
        <v>340</v>
      </c>
      <c r="H8" s="15" t="s">
        <v>341</v>
      </c>
      <c r="I8" s="14" t="s">
        <v>342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19"/>
      <c r="B9" s="19"/>
      <c r="C9" s="19"/>
      <c r="D9" s="22"/>
      <c r="E9" s="22"/>
      <c r="F9" s="22"/>
      <c r="G9" s="19"/>
      <c r="H9" s="19"/>
      <c r="I9" s="19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4.0" customHeight="1">
      <c r="A10" s="19"/>
      <c r="B10" s="19"/>
      <c r="C10" s="23" t="s">
        <v>343</v>
      </c>
      <c r="D10" s="24">
        <f t="shared" ref="D10:E10" si="2">SUM(D5:D8)</f>
        <v>3525000</v>
      </c>
      <c r="E10" s="24">
        <f t="shared" si="2"/>
        <v>3525000</v>
      </c>
      <c r="F10" s="24">
        <f>ROUND(E10-D10,0)</f>
        <v>0</v>
      </c>
      <c r="G10" s="19"/>
      <c r="H10" s="19"/>
      <c r="I10" s="19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1.5" customHeight="1">
      <c r="A12" s="40" t="s">
        <v>344</v>
      </c>
      <c r="B12" s="26"/>
      <c r="C12" s="26"/>
      <c r="D12" s="26"/>
      <c r="E12" s="26"/>
      <c r="F12" s="26"/>
      <c r="G12" s="26"/>
      <c r="H12" s="26"/>
      <c r="I12" s="27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1.5" customHeight="1">
      <c r="A13" s="41"/>
      <c r="I13" s="42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1.5" customHeight="1">
      <c r="A14" s="41"/>
      <c r="I14" s="42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1.5" customHeight="1">
      <c r="A15" s="28"/>
      <c r="B15" s="29"/>
      <c r="C15" s="29"/>
      <c r="D15" s="29"/>
      <c r="E15" s="29"/>
      <c r="F15" s="29"/>
      <c r="G15" s="29"/>
      <c r="H15" s="29"/>
      <c r="I15" s="30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I1"/>
    <mergeCell ref="A2:I2"/>
    <mergeCell ref="A12:I15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6.0"/>
    <col customWidth="1" min="2" max="2" width="32.0"/>
    <col customWidth="1" min="3" max="3" width="48.0"/>
    <col customWidth="1" min="4" max="4" width="28.0"/>
    <col customWidth="1" min="5" max="5" width="64.0"/>
    <col customWidth="1" min="6" max="26" width="8.63"/>
  </cols>
  <sheetData>
    <row r="1" ht="27.75" customHeight="1">
      <c r="A1" s="1" t="s">
        <v>345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38" t="s">
        <v>22</v>
      </c>
      <c r="B3" s="38" t="s">
        <v>346</v>
      </c>
      <c r="C3" s="38" t="s">
        <v>347</v>
      </c>
      <c r="D3" s="39" t="s">
        <v>348</v>
      </c>
      <c r="E3" s="38" t="s">
        <v>349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4">
        <v>1.0</v>
      </c>
      <c r="B4" s="14" t="s">
        <v>350</v>
      </c>
      <c r="C4" s="14" t="s">
        <v>351</v>
      </c>
      <c r="D4" s="15" t="s">
        <v>352</v>
      </c>
      <c r="E4" s="14" t="s">
        <v>353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14">
        <v>2.0</v>
      </c>
      <c r="B5" s="14" t="s">
        <v>354</v>
      </c>
      <c r="C5" s="14" t="s">
        <v>355</v>
      </c>
      <c r="D5" s="15" t="s">
        <v>356</v>
      </c>
      <c r="E5" s="14" t="s">
        <v>357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14">
        <v>3.0</v>
      </c>
      <c r="B6" s="14" t="s">
        <v>358</v>
      </c>
      <c r="C6" s="14" t="s">
        <v>359</v>
      </c>
      <c r="D6" s="15" t="s">
        <v>360</v>
      </c>
      <c r="E6" s="14" t="s">
        <v>361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14">
        <v>4.0</v>
      </c>
      <c r="B7" s="14" t="s">
        <v>362</v>
      </c>
      <c r="C7" s="14" t="s">
        <v>363</v>
      </c>
      <c r="D7" s="15" t="s">
        <v>364</v>
      </c>
      <c r="E7" s="14" t="s">
        <v>365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14">
        <v>5.0</v>
      </c>
      <c r="B8" s="14" t="s">
        <v>366</v>
      </c>
      <c r="C8" s="14" t="s">
        <v>367</v>
      </c>
      <c r="D8" s="15" t="s">
        <v>364</v>
      </c>
      <c r="E8" s="14" t="s">
        <v>368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14">
        <v>6.0</v>
      </c>
      <c r="B9" s="14" t="s">
        <v>369</v>
      </c>
      <c r="C9" s="14" t="s">
        <v>370</v>
      </c>
      <c r="D9" s="15" t="s">
        <v>371</v>
      </c>
      <c r="E9" s="14" t="s">
        <v>372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14">
        <v>7.0</v>
      </c>
      <c r="B10" s="14" t="s">
        <v>373</v>
      </c>
      <c r="C10" s="14" t="s">
        <v>374</v>
      </c>
      <c r="D10" s="15" t="s">
        <v>375</v>
      </c>
      <c r="E10" s="14" t="s">
        <v>376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14">
        <v>8.0</v>
      </c>
      <c r="B11" s="14" t="s">
        <v>377</v>
      </c>
      <c r="C11" s="14" t="s">
        <v>378</v>
      </c>
      <c r="D11" s="15" t="s">
        <v>371</v>
      </c>
      <c r="E11" s="14" t="s">
        <v>379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14">
        <v>9.0</v>
      </c>
      <c r="B12" s="14" t="s">
        <v>380</v>
      </c>
      <c r="C12" s="14" t="s">
        <v>381</v>
      </c>
      <c r="D12" s="15" t="s">
        <v>382</v>
      </c>
      <c r="E12" s="14" t="s">
        <v>383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E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